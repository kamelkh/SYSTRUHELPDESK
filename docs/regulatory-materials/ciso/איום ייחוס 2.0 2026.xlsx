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itzan Levi\Downloads\"/>
    </mc:Choice>
  </mc:AlternateContent>
  <xr:revisionPtr revIDLastSave="0" documentId="13_ncr:1_{F53D979D-4F35-4710-9BEA-528E0F333D74}" xr6:coauthVersionLast="47" xr6:coauthVersionMax="47" xr10:uidLastSave="{00000000-0000-0000-0000-000000000000}"/>
  <bookViews>
    <workbookView xWindow="-103" yWindow="-103" windowWidth="22149" windowHeight="13200" tabRatio="885" xr2:uid="{DC04FB09-EDFD-4AD2-9BCA-B168E0BCCE8F}"/>
  </bookViews>
  <sheets>
    <sheet name="שלב ראשון - כללי" sheetId="1" r:id="rId1"/>
    <sheet name="שלב שני - זיהוי נכסים אסטרטגיים" sheetId="3" r:id="rId2"/>
    <sheet name="שלב שלישי - איומים מרכזיים" sheetId="4" r:id="rId3"/>
    <sheet name="שלב רביעי - גורמי איום" sheetId="7" r:id="rId4"/>
    <sheet name="שלב חמש - תרחישי איום מרכזיים" sheetId="8" r:id="rId5"/>
    <sheet name="שלב שש - ניתוח סיכונים" sheetId="9" r:id="rId6"/>
  </sheets>
  <externalReferences>
    <externalReference r:id="rId7"/>
  </externalReferences>
  <definedNames>
    <definedName name="Google_Sheet_Link_1179618699" hidden="1">Senario_13</definedName>
    <definedName name="Google_Sheet_Link_1268539325" hidden="1">Senario_1</definedName>
    <definedName name="Google_Sheet_Link_1272433082" hidden="1">Senario_Name_9</definedName>
    <definedName name="Google_Sheet_Link_1428089656" hidden="1">Senario_2</definedName>
    <definedName name="Google_Sheet_Link_1541204254" hidden="1">Senario_15</definedName>
    <definedName name="Google_Sheet_Link_1579637806" hidden="1">Senario_7</definedName>
    <definedName name="Google_Sheet_Link_1664143652" hidden="1">Senario_6</definedName>
    <definedName name="Google_Sheet_Link_1667544655" hidden="1">Senario_Name_11</definedName>
    <definedName name="Google_Sheet_Link_1722685395" hidden="1">Senario_5</definedName>
    <definedName name="Google_Sheet_Link_1813756133" hidden="1">Senario_12</definedName>
    <definedName name="Google_Sheet_Link_1818848680" hidden="1">Senario_11</definedName>
    <definedName name="Google_Sheet_Link_1895155298" hidden="1">[1]תרחישים!#REF!</definedName>
    <definedName name="Google_Sheet_Link_1934727686" hidden="1">Senario_Name_3</definedName>
    <definedName name="Google_Sheet_Link_1936202418" hidden="1">Senario_4</definedName>
    <definedName name="Google_Sheet_Link_1936817622" hidden="1">Senario_10</definedName>
    <definedName name="Google_Sheet_Link_2112939496" hidden="1">Senario_Name_15</definedName>
    <definedName name="Google_Sheet_Link_2140857569" hidden="1">Senario_3</definedName>
    <definedName name="Google_Sheet_Link_289569435" hidden="1">Senario_Name_5</definedName>
    <definedName name="Google_Sheet_Link_290577240" hidden="1">Senario_8</definedName>
    <definedName name="Google_Sheet_Link_307583599" hidden="1">Senario_14</definedName>
    <definedName name="Google_Sheet_Link_404500888" hidden="1">ThreatActors</definedName>
    <definedName name="Google_Sheet_Link_536691328" hidden="1">[1]תרחישים!#REF!</definedName>
    <definedName name="Google_Sheet_Link_766952444" hidden="1">ציון</definedName>
    <definedName name="Google_Sheet_Link_799264419" hidden="1">Senario_Name_4</definedName>
    <definedName name="Google_Sheet_Link_919891954" hidden="1">Senario_9</definedName>
    <definedName name="Google_Sheet_Link_95654980" hidden="1">Senario_Name_1</definedName>
    <definedName name="Meafyen_offset">[1]הגדרות!$A$16:$B$21</definedName>
    <definedName name="Senario_1">[1]תרחישים!#REF!</definedName>
    <definedName name="Senario_10">[1]תרחישים!$B$21:$F$27</definedName>
    <definedName name="Senario_11">[1]תרחישים!#REF!</definedName>
    <definedName name="Senario_12">[1]תרחישים!$N$12:$R$18</definedName>
    <definedName name="Senario_13">[1]תרחישים!#REF!</definedName>
    <definedName name="Senario_14">[1]תרחישים!$H$21:$L$27</definedName>
    <definedName name="Senario_15">[1]תרחישים!$N$21:$R$27</definedName>
    <definedName name="Senario_18">[1]תרחישים!#REF!</definedName>
    <definedName name="Senario_19">[1]תרחישים!#REF!</definedName>
    <definedName name="Senario_2">[1]תרחישים!$H$3:$L$9</definedName>
    <definedName name="Senario_3">[1]תרחישים!#REF!</definedName>
    <definedName name="Senario_4">[1]תרחישים!$B$3:$F$9</definedName>
    <definedName name="Senario_5">[1]תרחישים!$H$12:$L$18</definedName>
    <definedName name="Senario_6">[1]תרחישים!$N$3:$R$9</definedName>
    <definedName name="Senario_7">[1]תרחישים!$B$12:$F$18</definedName>
    <definedName name="Senario_8">[1]תרחישים!#REF!</definedName>
    <definedName name="Senario_9">[1]תרחישים!#REF!</definedName>
    <definedName name="Senario_Name_1">[1]תרחישים!#REF!</definedName>
    <definedName name="Senario_Name_10">[1]תרחישים!$B$20</definedName>
    <definedName name="Senario_Name_11">[1]תרחישים!#REF!</definedName>
    <definedName name="Senario_Name_12">[1]תרחישים!$N$11</definedName>
    <definedName name="Senario_Name_13">[1]תרחישים!#REF!</definedName>
    <definedName name="Senario_Name_14">[1]תרחישים!$H$20</definedName>
    <definedName name="Senario_Name_15">[1]תרחישים!$N$20</definedName>
    <definedName name="Senario_Name_16">[1]תרחישים!$B$29</definedName>
    <definedName name="Senario_Name_17">[1]תרחישים!$H$29</definedName>
    <definedName name="Senario_Name_18">[1]תרחישים!#REF!</definedName>
    <definedName name="Senario_Name_19">[1]תרחישים!#REF!</definedName>
    <definedName name="Senario_Name_2">[1]תרחישים!$H$2</definedName>
    <definedName name="Senario_Name_20">[1]תרחישים!$H$38</definedName>
    <definedName name="Senario_Name_21">[1]תרחישים!$N$29</definedName>
    <definedName name="Senario_Name_3">[1]תרחישים!#REF!</definedName>
    <definedName name="Senario_Name_4">[1]תרחישים!$B$2</definedName>
    <definedName name="Senario_Name_5">[1]תרחישים!$H$11</definedName>
    <definedName name="Senario_Name_6">[1]תרחישים!$N$2</definedName>
    <definedName name="Senario_Name_7">[1]תרחישים!$B$11</definedName>
    <definedName name="Senario_Name_8">[1]תרחישים!#REF!</definedName>
    <definedName name="Senario_Name_9">[1]תרחישים!#REF!</definedName>
    <definedName name="Threat_Influance">[1]הגדרות!$G$3:$H$8</definedName>
    <definedName name="Threat_Name_1">'[1]גורמי איום'!$A$1</definedName>
    <definedName name="Threat_Name_2">'[1]גורמי איום'!$G$1</definedName>
    <definedName name="Threat_Name_3">'[1]גורמי איום'!$M$1</definedName>
    <definedName name="Threat_Name_4">'[1]גורמי איום'!$A$14</definedName>
    <definedName name="Threat_Name_5">'[1]גורמי איום'!$G$14</definedName>
    <definedName name="Threat_Name_6">'[1]גורמי איום'!$M$14</definedName>
    <definedName name="Threat_Name_7">'[1]גורמי איום'!$A$27</definedName>
    <definedName name="Threat_Name_8">'[1]גורמי איום'!$G$27</definedName>
    <definedName name="Threat_Name_9">'[1]גורמי איום'!$M$27</definedName>
    <definedName name="ThreatActors">[1]הגדרות!$M$3:$N$11</definedName>
    <definedName name="ציון">[1]הגדרות!$D$3:$D$7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9" l="1"/>
  <c r="C10" i="9"/>
  <c r="C9" i="9"/>
  <c r="B9" i="9"/>
  <c r="B10" i="9"/>
  <c r="B11" i="9"/>
  <c r="B8" i="9"/>
  <c r="H19" i="8"/>
  <c r="H18" i="8"/>
  <c r="H17" i="8"/>
  <c r="H16" i="8"/>
  <c r="C8" i="9"/>
  <c r="K8" i="9"/>
  <c r="K9" i="9"/>
  <c r="K10" i="9"/>
  <c r="K11" i="9"/>
  <c r="K7" i="9"/>
  <c r="G8" i="9"/>
  <c r="G9" i="9"/>
  <c r="G10" i="9"/>
  <c r="G11" i="9"/>
  <c r="G7" i="9"/>
  <c r="C7" i="9"/>
  <c r="C47" i="8"/>
  <c r="C46" i="8"/>
  <c r="C45" i="8"/>
  <c r="C44" i="8"/>
  <c r="C43" i="8"/>
  <c r="C39" i="8"/>
  <c r="C38" i="8"/>
  <c r="C37" i="8"/>
  <c r="C36" i="8"/>
  <c r="C35" i="8"/>
  <c r="C31" i="8"/>
  <c r="C30" i="8"/>
  <c r="C29" i="8"/>
  <c r="C28" i="8"/>
  <c r="C27" i="8"/>
  <c r="C23" i="8"/>
  <c r="C22" i="8"/>
  <c r="C20" i="8"/>
  <c r="C19" i="8"/>
  <c r="E44" i="8"/>
  <c r="E45" i="8"/>
  <c r="E46" i="8"/>
  <c r="E47" i="8"/>
  <c r="E43" i="8"/>
  <c r="F43" i="8" s="1"/>
  <c r="E36" i="8"/>
  <c r="E37" i="8"/>
  <c r="E38" i="8"/>
  <c r="E39" i="8"/>
  <c r="E35" i="8"/>
  <c r="F35" i="8" s="1"/>
  <c r="B44" i="8"/>
  <c r="B45" i="8"/>
  <c r="B46" i="8"/>
  <c r="B47" i="8"/>
  <c r="B43" i="8"/>
  <c r="B36" i="8"/>
  <c r="B37" i="8"/>
  <c r="B38" i="8"/>
  <c r="B39" i="8"/>
  <c r="B35" i="8"/>
  <c r="B28" i="8"/>
  <c r="B29" i="8"/>
  <c r="B30" i="8"/>
  <c r="B31" i="8"/>
  <c r="B27" i="8"/>
  <c r="E28" i="8"/>
  <c r="E29" i="8"/>
  <c r="E30" i="8"/>
  <c r="E31" i="8"/>
  <c r="E27" i="8"/>
  <c r="T7" i="4"/>
  <c r="T8" i="4"/>
  <c r="T9" i="4"/>
  <c r="T10" i="4"/>
  <c r="T11" i="4"/>
  <c r="T12" i="4"/>
  <c r="T13" i="4"/>
  <c r="T14" i="4"/>
  <c r="T15" i="4"/>
  <c r="T16" i="4"/>
  <c r="T17" i="4"/>
  <c r="C21" i="8" s="1"/>
  <c r="T18" i="4"/>
  <c r="T19" i="4"/>
  <c r="T20" i="4"/>
  <c r="T21" i="4"/>
  <c r="T22" i="4"/>
  <c r="T23" i="4"/>
  <c r="T24" i="4"/>
  <c r="T25" i="4"/>
  <c r="T26" i="4"/>
  <c r="T27" i="4"/>
  <c r="T28" i="4"/>
  <c r="T29" i="4"/>
  <c r="T30" i="4"/>
  <c r="T6" i="4"/>
  <c r="E22" i="8"/>
  <c r="B22" i="8"/>
  <c r="B23" i="8"/>
  <c r="B19" i="8"/>
  <c r="V10" i="4"/>
  <c r="E23" i="8" s="1"/>
  <c r="F23" i="8" s="1"/>
  <c r="V9" i="4"/>
  <c r="V8" i="4"/>
  <c r="E21" i="8" s="1"/>
  <c r="F21" i="8" s="1"/>
  <c r="V7" i="4"/>
  <c r="E20" i="8" s="1"/>
  <c r="F20" i="8" s="1"/>
  <c r="V6" i="4"/>
  <c r="E19" i="8" s="1"/>
  <c r="F19" i="8" s="1"/>
  <c r="U10" i="4"/>
  <c r="U9" i="4"/>
  <c r="U8" i="4"/>
  <c r="B21" i="8" s="1"/>
  <c r="U7" i="4"/>
  <c r="B20" i="8" s="1"/>
  <c r="U6" i="4"/>
  <c r="F97" i="7"/>
  <c r="F96" i="7"/>
  <c r="F95" i="7"/>
  <c r="F94" i="7"/>
  <c r="F93" i="7"/>
  <c r="F83" i="7"/>
  <c r="F92" i="7"/>
  <c r="F82" i="7"/>
  <c r="F91" i="7"/>
  <c r="F87" i="7"/>
  <c r="F86" i="7"/>
  <c r="F85" i="7"/>
  <c r="F84" i="7"/>
  <c r="F81" i="7"/>
  <c r="F77" i="7"/>
  <c r="F76" i="7"/>
  <c r="F75" i="7"/>
  <c r="F74" i="7"/>
  <c r="F73" i="7"/>
  <c r="F72" i="7"/>
  <c r="F71"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5" i="7"/>
  <c r="L31" i="4"/>
  <c r="E56" i="7"/>
  <c r="D61" i="7"/>
  <c r="D91" i="7" s="1"/>
  <c r="G91" i="7" s="1"/>
  <c r="D67" i="7"/>
  <c r="G67" i="7" s="1"/>
  <c r="D66" i="7"/>
  <c r="G66" i="7" s="1"/>
  <c r="D65" i="7"/>
  <c r="G65" i="7" s="1"/>
  <c r="D64" i="7"/>
  <c r="G64" i="7" s="1"/>
  <c r="D63" i="7"/>
  <c r="G63" i="7" s="1"/>
  <c r="D62" i="7"/>
  <c r="G62" i="7" s="1"/>
  <c r="F47" i="8"/>
  <c r="F46" i="8"/>
  <c r="F45" i="8"/>
  <c r="F44" i="8"/>
  <c r="F39" i="8"/>
  <c r="F38" i="8"/>
  <c r="F37" i="8"/>
  <c r="F36" i="8"/>
  <c r="F31" i="8"/>
  <c r="F30" i="8"/>
  <c r="F29" i="8"/>
  <c r="F25" i="8" s="1"/>
  <c r="F28" i="8"/>
  <c r="F27" i="8"/>
  <c r="F22" i="8"/>
  <c r="F12" i="8"/>
  <c r="F11" i="8"/>
  <c r="F10" i="8"/>
  <c r="F9" i="8"/>
  <c r="F8" i="8"/>
  <c r="F41" i="8" l="1"/>
  <c r="F33" i="8"/>
  <c r="G61" i="7"/>
  <c r="D73" i="7"/>
  <c r="G73" i="7" s="1"/>
  <c r="D86" i="7"/>
  <c r="G86" i="7" s="1"/>
  <c r="D76" i="7"/>
  <c r="G76" i="7" s="1"/>
  <c r="D75" i="7"/>
  <c r="G75" i="7" s="1"/>
  <c r="D84" i="7"/>
  <c r="G84" i="7" s="1"/>
  <c r="D83" i="7"/>
  <c r="G83" i="7" s="1"/>
  <c r="D82" i="7"/>
  <c r="G82" i="7" s="1"/>
  <c r="D81" i="7"/>
  <c r="G81" i="7" s="1"/>
  <c r="D96" i="7"/>
  <c r="G96" i="7" s="1"/>
  <c r="D95" i="7"/>
  <c r="G95" i="7" s="1"/>
  <c r="D77" i="7"/>
  <c r="G77" i="7" s="1"/>
  <c r="D74" i="7"/>
  <c r="G74" i="7" s="1"/>
  <c r="D94" i="7"/>
  <c r="G94" i="7" s="1"/>
  <c r="D93" i="7"/>
  <c r="G93" i="7" s="1"/>
  <c r="D72" i="7"/>
  <c r="G72" i="7" s="1"/>
  <c r="D92" i="7"/>
  <c r="G92" i="7" s="1"/>
  <c r="D71" i="7"/>
  <c r="G71" i="7" s="1"/>
  <c r="D85" i="7"/>
  <c r="G85" i="7" s="1"/>
  <c r="D97" i="7"/>
  <c r="G97" i="7" s="1"/>
  <c r="D87" i="7"/>
  <c r="G87" i="7" s="1"/>
  <c r="D68" i="7"/>
  <c r="G68" i="7"/>
  <c r="F6" i="8"/>
  <c r="F17" i="8"/>
  <c r="G78" i="7" l="1"/>
  <c r="G98" i="7"/>
  <c r="G88" i="7"/>
  <c r="D88" i="7"/>
  <c r="D78" i="7"/>
  <c r="D98" i="7"/>
</calcChain>
</file>

<file path=xl/sharedStrings.xml><?xml version="1.0" encoding="utf-8"?>
<sst xmlns="http://schemas.openxmlformats.org/spreadsheetml/2006/main" count="242" uniqueCount="129">
  <si>
    <t>כללי</t>
  </si>
  <si>
    <t>שם חברה:</t>
  </si>
  <si>
    <t>אתר</t>
  </si>
  <si>
    <t>שמות סטודנטים:</t>
  </si>
  <si>
    <t>שם סטודנט/ית</t>
  </si>
  <si>
    <t>נכסים אסטרטגיים</t>
  </si>
  <si>
    <t>נכס</t>
  </si>
  <si>
    <t>רמת חשיבות הנכס
 (1-5)</t>
  </si>
  <si>
    <t xml:space="preserve">ההסתברות לפגיעה בנכסים אלו בהתרחש אירוע מהותי (1-5) </t>
  </si>
  <si>
    <t>דוגמא: חברת סלקום</t>
  </si>
  <si>
    <t>מוניטין</t>
  </si>
  <si>
    <t>מוצרי תקשורת</t>
  </si>
  <si>
    <t>נתונים ומידע</t>
  </si>
  <si>
    <t>ידע אנושי</t>
  </si>
  <si>
    <t>הסבר</t>
  </si>
  <si>
    <t>סולם ערכים</t>
  </si>
  <si>
    <t>ציון (1-5)</t>
  </si>
  <si>
    <t>מאפיין</t>
  </si>
  <si>
    <t>נזק למידע</t>
  </si>
  <si>
    <t>נזק למידע של לקוחות הארגון (פגיעה בשלמות המידע או בזמינות המידע)</t>
  </si>
  <si>
    <t>אין נזק</t>
  </si>
  <si>
    <t>נזק מועט</t>
  </si>
  <si>
    <t>נזק ברמה בינונית</t>
  </si>
  <si>
    <t>נזק ברמה גבוהה</t>
  </si>
  <si>
    <t>נזק מהותי</t>
  </si>
  <si>
    <t>צורת ההתארגנות</t>
  </si>
  <si>
    <r>
      <rPr>
        <b/>
        <sz val="10"/>
        <color theme="1"/>
        <rFont val="Segoe UI"/>
        <family val="2"/>
      </rPr>
      <t xml:space="preserve">שלב שלישי: זיהוי איומים מרכזיים
</t>
    </r>
    <r>
      <rPr>
        <sz val="10"/>
        <color theme="1"/>
        <rFont val="Segoe UI"/>
        <family val="2"/>
      </rPr>
      <t xml:space="preserve">כדי לזהות את האיומים המרכזיים לנכסי הארגון, עליכם להבין את המהות והתפקוד של כל נכס אסטרטגי בארגון. לדוגמה, מוניטין הארגון הוא קריטי לשמירת לקוחות וקשרים עסקיים, ומידע רגיש יכול לכלול נתוני לקוחות ומסמכים פנימיים חשובים. לאחר מכן צרו איום הרלוונטי לנכס האסטרטגי. </t>
    </r>
    <r>
      <rPr>
        <b/>
        <sz val="10"/>
        <color theme="1"/>
        <rFont val="Segoe UI"/>
        <family val="2"/>
      </rPr>
      <t>1= לא מהותי, 5 = מהותי</t>
    </r>
  </si>
  <si>
    <t>פרט בודד</t>
  </si>
  <si>
    <t>התארגנות של פרטים בודדים</t>
  </si>
  <si>
    <t xml:space="preserve">ארגון בודד </t>
  </si>
  <si>
    <t>התארגנות של מספר ארגונים</t>
  </si>
  <si>
    <t>רמת מדינה/מעצמה</t>
  </si>
  <si>
    <t xml:space="preserve">פרסום עצמי </t>
  </si>
  <si>
    <t xml:space="preserve">איסוף מודיעין </t>
  </si>
  <si>
    <t xml:space="preserve">רווח כספי </t>
  </si>
  <si>
    <t xml:space="preserve">פגיעה בהתנהלות השוטפת </t>
  </si>
  <si>
    <t xml:space="preserve">פגיעה בתשתיות/אזרחים </t>
  </si>
  <si>
    <t>סקרנות ושעמום</t>
  </si>
  <si>
    <t>קידום אג'נדה</t>
  </si>
  <si>
    <t xml:space="preserve">האדרת התוקף </t>
  </si>
  <si>
    <t xml:space="preserve">ריגול תעשייתי </t>
  </si>
  <si>
    <t xml:space="preserve">פיננסי </t>
  </si>
  <si>
    <t xml:space="preserve">אין ידע מוקדם </t>
  </si>
  <si>
    <t>ידע ברמה נמוכה-בינונית</t>
  </si>
  <si>
    <t>ידע ברמה בינונית</t>
  </si>
  <si>
    <t>ידע ברמה בינונית-גבוהה</t>
  </si>
  <si>
    <t xml:space="preserve">ידע ברמה גבוהה </t>
  </si>
  <si>
    <t xml:space="preserve">אין משאבים ייעודיים </t>
  </si>
  <si>
    <t xml:space="preserve">משאבים מוגבלים </t>
  </si>
  <si>
    <t xml:space="preserve">כמות משאבים בינונית </t>
  </si>
  <si>
    <t xml:space="preserve">משאבים רבים </t>
  </si>
  <si>
    <t xml:space="preserve">משאבים בלתי מוגבלים </t>
  </si>
  <si>
    <t xml:space="preserve">Script מוכן </t>
  </si>
  <si>
    <t xml:space="preserve">נוזקות ידועות </t>
  </si>
  <si>
    <t xml:space="preserve">Script בפיתוח עצמי </t>
  </si>
  <si>
    <t xml:space="preserve">נוזקות בפיתוח עצמי </t>
  </si>
  <si>
    <t xml:space="preserve">כלי האקינג מורכב </t>
  </si>
  <si>
    <t xml:space="preserve">אין חשיפה מוקדמת </t>
  </si>
  <si>
    <t xml:space="preserve">אין חשיפה, אך יש היכרות עם הסביבה הטכנולוגית </t>
  </si>
  <si>
    <t xml:space="preserve">אין חשיפה, אך יש זמינות של מומחי תוכן </t>
  </si>
  <si>
    <t xml:space="preserve">חשיפה חלקית למשאבים מוגבלים </t>
  </si>
  <si>
    <t xml:space="preserve">חשיפה מלאה ויכולת גישה מלאה </t>
  </si>
  <si>
    <t xml:space="preserve">מטרת התקיפה </t>
  </si>
  <si>
    <t xml:space="preserve">המניע לתקיפה </t>
  </si>
  <si>
    <t xml:space="preserve">ידע וניסיון </t>
  </si>
  <si>
    <t xml:space="preserve">משאבים </t>
  </si>
  <si>
    <t xml:space="preserve">מורכבות תקיפה </t>
  </si>
  <si>
    <t>חשיפה לארגון</t>
  </si>
  <si>
    <t>משקל</t>
  </si>
  <si>
    <t>ציון</t>
  </si>
  <si>
    <t>תוצאה</t>
  </si>
  <si>
    <t>סה״כ</t>
  </si>
  <si>
    <t>מהם גורמי האיום המרכזיים לארגון ומה היכולות שלהם?</t>
  </si>
  <si>
    <t>התוקפים:</t>
  </si>
  <si>
    <t>דוגמא: 
גורם פנימי בעל הרשאות גבוהות</t>
  </si>
  <si>
    <t>מהם תרחישי האיום המרכזיים לארגון?</t>
  </si>
  <si>
    <t>התקפת כופרה</t>
  </si>
  <si>
    <t>ערכים רלבנטיים</t>
  </si>
  <si>
    <t>נזק מהותי למידע</t>
  </si>
  <si>
    <t>דלף מידע</t>
  </si>
  <si>
    <t>גניבה של מידע לא מהותי</t>
  </si>
  <si>
    <t>השבתת פעילות</t>
  </si>
  <si>
    <t>השבתה של חלק מהותי מהפעילות הארגונית</t>
  </si>
  <si>
    <t>פגיה במוניטין</t>
  </si>
  <si>
    <t>פגיעה בינונית במוניטין</t>
  </si>
  <si>
    <t>החברה שלנו:</t>
  </si>
  <si>
    <t>בחר שחקן לבחירתך (אפשר להשתמש בתורת ההגנה)</t>
  </si>
  <si>
    <t>פגיעה בידע אנושי</t>
  </si>
  <si>
    <t>איו פגיעה בידע אנושי</t>
  </si>
  <si>
    <t>תפקיד בחברה</t>
  </si>
  <si>
    <t>מנהל/ת אבטחת מידע</t>
  </si>
  <si>
    <t>מנהל/ת הגנת פרטיות</t>
  </si>
  <si>
    <t>מנכ"ל/ית</t>
  </si>
  <si>
    <t>סוקר/ת חיצוני/ת</t>
  </si>
  <si>
    <t>זהו 5 איומים מרכזיים</t>
  </si>
  <si>
    <t>איום (נלקח משלב 3)</t>
  </si>
  <si>
    <t>משקל (אחוז)</t>
  </si>
  <si>
    <t>איום</t>
  </si>
  <si>
    <t>רמת נזק שורשי</t>
  </si>
  <si>
    <t>סיכון  - צריך להיות הסבר מה יקרה - מה הסיכון!</t>
  </si>
  <si>
    <t>אובדן מידע  הנגרם עקב מתקפת כופר כתוצאה מהנדסה חברתית</t>
  </si>
  <si>
    <t>נכסים באיום</t>
  </si>
  <si>
    <t>הציעו בקרות</t>
  </si>
  <si>
    <t>הסתברות (1-5)</t>
  </si>
  <si>
    <t>נזק לאחר בקרות</t>
  </si>
  <si>
    <t>הסתברות (1-5) לאחר בקרות</t>
  </si>
  <si>
    <t>רמת סיכון נוכחי</t>
  </si>
  <si>
    <t>רמת סיכון לאחר תוכנית בקרות</t>
  </si>
  <si>
    <t xml:space="preserve">תירגולי פישינג
הכשרת עובדים </t>
  </si>
  <si>
    <t>XX1</t>
  </si>
  <si>
    <t>XX2</t>
  </si>
  <si>
    <t>XX3</t>
  </si>
  <si>
    <t>XX4</t>
  </si>
  <si>
    <t>כתבו 5 סיכונים</t>
  </si>
  <si>
    <t>הכנס טקסט לרמה 1</t>
  </si>
  <si>
    <t>הכנס טקסט לרמה 2</t>
  </si>
  <si>
    <t>הכנס טקסט לרמה 3</t>
  </si>
  <si>
    <t>הכנס טקסט לרמה 4</t>
  </si>
  <si>
    <t>הכנס טקסט לרמה 5</t>
  </si>
  <si>
    <t>הכנס שם של נכס 1</t>
  </si>
  <si>
    <t>הכנס שם של נכס 2</t>
  </si>
  <si>
    <t>הכנס שם של נכס 3</t>
  </si>
  <si>
    <t>הכנס שם של נכס 4</t>
  </si>
  <si>
    <t>הכנס שם של נכס 5</t>
  </si>
  <si>
    <t>הכנס שם של נכס 6</t>
  </si>
  <si>
    <t>הכנס שם של נכס 7</t>
  </si>
  <si>
    <t>הכנס שם של נכס 8</t>
  </si>
  <si>
    <r>
      <rPr>
        <b/>
        <sz val="10"/>
        <color theme="1"/>
        <rFont val="Segoe UI"/>
        <family val="2"/>
      </rPr>
      <t xml:space="preserve">שלב שני: זיהוי נכסים אסטרטגיים
</t>
    </r>
    <r>
      <rPr>
        <sz val="10"/>
        <color theme="1"/>
        <rFont val="Segoe UI"/>
        <family val="2"/>
      </rPr>
      <t>רשום את כל הנכסים האסטרטגיים של הארגון. זכור לחשוב בגדול ולא בקטן, מהו נכס אסטרטגי של של הארגון שבחרת?
כמנהל אבטחת מידע אתה צריך את הנכסים האסטרטגיים כדי לנתח איומים פוטנציאליים, הערכה של הסבירות והתוצאה של כל איום, ומשם סיכונים רלוונטיים.</t>
    </r>
    <r>
      <rPr>
        <b/>
        <sz val="10"/>
        <color theme="1"/>
        <rFont val="Segoe UI"/>
        <family val="2"/>
      </rPr>
      <t xml:space="preserve">  1 = לא מהותי, 5 = מהותי</t>
    </r>
    <r>
      <rPr>
        <sz val="10"/>
        <color theme="1"/>
        <rFont val="Segoe UI"/>
        <family val="2"/>
      </rPr>
      <t xml:space="preserve"> : </t>
    </r>
    <r>
      <rPr>
        <sz val="10"/>
        <color rgb="FFFF0000"/>
        <rFont val="Segoe UI"/>
        <family val="2"/>
      </rPr>
      <t>נא להשתמש בכל מספר פעם אחת בעמודה</t>
    </r>
  </si>
  <si>
    <r>
      <rPr>
        <b/>
        <sz val="10"/>
        <color theme="1"/>
        <rFont val="Segoe UI"/>
        <family val="2"/>
      </rPr>
      <t xml:space="preserve">שלב ראשון: כללי
</t>
    </r>
    <r>
      <rPr>
        <sz val="10"/>
        <color theme="1"/>
        <rFont val="Segoe UI"/>
        <family val="2"/>
      </rPr>
      <t>רשמו את שמות המשתתפים בתרגיל ואת החברה שבחרתם. בחרו חברה הקרובה ללבכם שיש לכם יכולת להעריך סיכונים עבורה.</t>
    </r>
    <r>
      <rPr>
        <sz val="10"/>
        <color rgb="FFFF0000"/>
        <rFont val="Segoe UI"/>
        <family val="2"/>
      </rPr>
      <t xml:space="preserve"> (אין חובה לבחור חברה שאתם עובדים או עבדתם בה אבל החברה צריכה להיות אמיתית).</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</si>
</sst>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ptos Narrow"/>
      <family val="2"/>
      <scheme val="minor"/>
    </font>
    <font>
      <b/>
      <sz val="11"/>
      <color theme="1"/>
      <name val="Aptos Narrow"/>
      <family val="2"/>
      <scheme val="minor"/>
    </font>
    <font>
      <sz val="10"/>
      <color theme="1"/>
      <name val="Segoe UI"/>
      <family val="2"/>
    </font>
    <font>
      <sz val="12"/>
      <color theme="1"/>
      <name val="Aptos Narrow"/>
      <family val="2"/>
      <scheme val="minor"/>
    </font>
    <font>
      <sz val="16"/>
      <color theme="1"/>
      <name val="Aptos Narrow"/>
      <family val="2"/>
      <scheme val="minor"/>
    </font>
    <font>
      <sz val="28"/>
      <color theme="1"/>
      <name val="Aptos Narrow"/>
      <family val="2"/>
      <scheme val="minor"/>
    </font>
    <font>
      <b/>
      <sz val="10"/>
      <color theme="1"/>
      <name val="Segoe UI"/>
      <family val="2"/>
    </font>
    <font>
      <b/>
      <sz val="12"/>
      <color theme="1"/>
      <name val="Aptos Narrow"/>
      <family val="2"/>
      <scheme val="minor"/>
    </font>
    <font>
      <b/>
      <sz val="14"/>
      <color theme="1"/>
      <name val="Aptos Narrow"/>
      <family val="2"/>
      <scheme val="minor"/>
    </font>
    <font>
      <b/>
      <sz val="16"/>
      <color theme="1"/>
      <name val="Aptos Narrow"/>
      <family val="2"/>
      <scheme val="minor"/>
    </font>
    <font>
      <sz val="10"/>
      <color theme="1"/>
      <name val="Tahoma"/>
      <family val="2"/>
    </font>
    <font>
      <b/>
      <sz val="12"/>
      <color theme="1"/>
      <name val="Calibri"/>
      <family val="2"/>
    </font>
    <font>
      <b/>
      <sz val="9"/>
      <color theme="1"/>
      <name val="Tahoma"/>
      <family val="2"/>
    </font>
    <font>
      <sz val="12"/>
      <color theme="1"/>
      <name val="Calibri"/>
      <family val="2"/>
    </font>
    <font>
      <sz val="11"/>
      <color theme="1"/>
      <name val="Aptos Narrow"/>
      <family val="2"/>
      <charset val="177"/>
      <scheme val="minor"/>
    </font>
    <font>
      <b/>
      <sz val="12"/>
      <color theme="1"/>
      <name val="Tahoma"/>
      <family val="2"/>
    </font>
    <font>
      <b/>
      <sz val="12"/>
      <name val="Calibri"/>
      <family val="2"/>
    </font>
    <font>
      <b/>
      <sz val="9"/>
      <color rgb="FFFFFFFF"/>
      <name val="Tahoma"/>
      <family val="2"/>
    </font>
    <font>
      <sz val="8"/>
      <color theme="1"/>
      <name val="Arial"/>
      <family val="2"/>
    </font>
    <font>
      <sz val="10"/>
      <color rgb="FFFF0000"/>
      <name val="Segoe UI"/>
      <family val="2"/>
    </font>
  </fonts>
  <fills count="12">
    <fill>
      <patternFill patternType="none"/>
    </fill>
    <fill>
      <patternFill patternType="gray125"/>
    </fill>
    <fill>
      <patternFill patternType="solid">
        <fgColor theme="3" tint="0.499984740745262"/>
        <bgColor indexed="64"/>
      </patternFill>
    </fill>
    <fill>
      <patternFill patternType="solid">
        <fgColor theme="0"/>
        <bgColor indexed="64"/>
      </patternFill>
    </fill>
    <fill>
      <patternFill patternType="solid">
        <fgColor theme="3" tint="0.89999084444715716"/>
        <bgColor indexed="64"/>
      </patternFill>
    </fill>
    <fill>
      <patternFill patternType="solid">
        <fgColor theme="2"/>
        <bgColor indexed="64"/>
      </patternFill>
    </fill>
    <fill>
      <patternFill patternType="solid">
        <fgColor rgb="FFF2F2F2"/>
        <bgColor rgb="FFF2F2F2"/>
      </patternFill>
    </fill>
    <fill>
      <patternFill patternType="solid">
        <fgColor theme="0"/>
        <bgColor rgb="FFF2F2F2"/>
      </patternFill>
    </fill>
    <fill>
      <patternFill patternType="solid">
        <fgColor rgb="FFBE2328"/>
        <bgColor rgb="FFBE2328"/>
      </patternFill>
    </fill>
    <fill>
      <patternFill patternType="solid">
        <fgColor theme="3" tint="0.89999084444715716"/>
        <bgColor rgb="FFF2F2F2"/>
      </patternFill>
    </fill>
    <fill>
      <patternFill patternType="solid">
        <fgColor theme="5" tint="0.79998168889431442"/>
        <bgColor indexed="64"/>
      </patternFill>
    </fill>
    <fill>
      <patternFill patternType="solid">
        <fgColor rgb="FFFFFF00"/>
        <bgColor indexed="64"/>
      </patternFill>
    </fill>
  </fills>
  <borders count="4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diagonal/>
    </border>
    <border>
      <left style="medium">
        <color indexed="64"/>
      </left>
      <right style="medium">
        <color rgb="FF000000"/>
      </right>
      <top style="medium">
        <color rgb="FF000000"/>
      </top>
      <bottom/>
      <diagonal/>
    </border>
    <border>
      <left style="medium">
        <color rgb="FF000000"/>
      </left>
      <right/>
      <top style="medium">
        <color rgb="FF000000"/>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rgb="FF000000"/>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s>
  <cellStyleXfs count="3">
    <xf numFmtId="0" fontId="0" fillId="0" borderId="0"/>
    <xf numFmtId="0" fontId="3" fillId="0" borderId="0"/>
    <xf numFmtId="0" fontId="14" fillId="0" borderId="0"/>
  </cellStyleXfs>
  <cellXfs count="161">
    <xf numFmtId="0" fontId="0" fillId="0" borderId="0" xfId="0"/>
    <xf numFmtId="0" fontId="0" fillId="2" borderId="0" xfId="0" applyFill="1"/>
    <xf numFmtId="0" fontId="2" fillId="0" borderId="0" xfId="0" applyFont="1"/>
    <xf numFmtId="0" fontId="2" fillId="3" borderId="0" xfId="0" applyFont="1" applyFill="1" applyAlignment="1">
      <alignment horizontal="right" vertical="center" wrapText="1"/>
    </xf>
    <xf numFmtId="0" fontId="0" fillId="3" borderId="0" xfId="0" applyFill="1"/>
    <xf numFmtId="0" fontId="5" fillId="3" borderId="0" xfId="0" applyFont="1" applyFill="1" applyAlignment="1">
      <alignment horizontal="right" vertical="center"/>
    </xf>
    <xf numFmtId="0" fontId="2" fillId="3" borderId="0" xfId="0" applyFont="1" applyFill="1"/>
    <xf numFmtId="0" fontId="4" fillId="3" borderId="0" xfId="0" applyFont="1" applyFill="1"/>
    <xf numFmtId="0" fontId="1" fillId="3" borderId="0" xfId="0" applyFont="1" applyFill="1"/>
    <xf numFmtId="0" fontId="1" fillId="3" borderId="0" xfId="0" applyFont="1" applyFill="1" applyAlignment="1">
      <alignment vertical="top"/>
    </xf>
    <xf numFmtId="0" fontId="2" fillId="5" borderId="0" xfId="0" applyFont="1" applyFill="1"/>
    <xf numFmtId="0" fontId="1" fillId="4" borderId="5" xfId="0" applyFont="1" applyFill="1" applyBorder="1" applyAlignment="1">
      <alignment horizontal="center" vertical="center" wrapText="1"/>
    </xf>
    <xf numFmtId="0" fontId="10" fillId="0" borderId="5" xfId="1" applyFont="1" applyBorder="1" applyAlignment="1">
      <alignment horizontal="right" vertical="center"/>
    </xf>
    <xf numFmtId="0" fontId="10" fillId="0" borderId="5" xfId="1" applyFont="1" applyBorder="1" applyAlignment="1">
      <alignment horizontal="right"/>
    </xf>
    <xf numFmtId="10" fontId="10" fillId="0" borderId="5" xfId="1" applyNumberFormat="1" applyFont="1" applyBorder="1" applyAlignment="1">
      <alignment horizontal="right" vertical="center" wrapText="1"/>
    </xf>
    <xf numFmtId="0" fontId="10" fillId="0" borderId="5" xfId="1" applyFont="1" applyBorder="1" applyAlignment="1">
      <alignment horizontal="center" vertical="center"/>
    </xf>
    <xf numFmtId="0" fontId="12" fillId="6" borderId="17" xfId="1" applyFont="1" applyFill="1" applyBorder="1" applyAlignment="1">
      <alignment horizontal="right" vertical="center" wrapText="1" readingOrder="2"/>
    </xf>
    <xf numFmtId="9" fontId="13" fillId="0" borderId="19" xfId="1" applyNumberFormat="1" applyFont="1" applyBorder="1" applyAlignment="1">
      <alignment horizontal="center" wrapText="1" readingOrder="2"/>
    </xf>
    <xf numFmtId="0" fontId="13" fillId="0" borderId="19" xfId="1" applyFont="1" applyBorder="1" applyAlignment="1">
      <alignment horizontal="center" wrapText="1" readingOrder="2"/>
    </xf>
    <xf numFmtId="0" fontId="13" fillId="0" borderId="20" xfId="1" applyFont="1" applyBorder="1" applyAlignment="1">
      <alignment horizontal="center" wrapText="1" readingOrder="2"/>
    </xf>
    <xf numFmtId="0" fontId="12" fillId="6" borderId="21" xfId="1" applyFont="1" applyFill="1" applyBorder="1" applyAlignment="1">
      <alignment horizontal="right" vertical="center" wrapText="1" readingOrder="2"/>
    </xf>
    <xf numFmtId="9" fontId="13" fillId="0" borderId="22" xfId="1" applyNumberFormat="1" applyFont="1" applyBorder="1" applyAlignment="1">
      <alignment horizontal="center" wrapText="1" readingOrder="2"/>
    </xf>
    <xf numFmtId="0" fontId="13" fillId="0" borderId="22" xfId="1" applyFont="1" applyBorder="1" applyAlignment="1">
      <alignment horizontal="center" wrapText="1" readingOrder="2"/>
    </xf>
    <xf numFmtId="0" fontId="14" fillId="0" borderId="0" xfId="2"/>
    <xf numFmtId="0" fontId="14" fillId="3" borderId="0" xfId="2" applyFill="1"/>
    <xf numFmtId="0" fontId="1" fillId="3" borderId="0" xfId="2" applyFont="1" applyFill="1"/>
    <xf numFmtId="0" fontId="10" fillId="0" borderId="5" xfId="1" applyFont="1" applyBorder="1" applyAlignment="1">
      <alignment horizontal="center" vertical="center" readingOrder="2"/>
    </xf>
    <xf numFmtId="0" fontId="12" fillId="6" borderId="27" xfId="1" applyFont="1" applyFill="1" applyBorder="1" applyAlignment="1">
      <alignment horizontal="right" vertical="center" wrapText="1" readingOrder="2"/>
    </xf>
    <xf numFmtId="0" fontId="12" fillId="6" borderId="28" xfId="1" applyFont="1" applyFill="1" applyBorder="1" applyAlignment="1">
      <alignment horizontal="right" vertical="center" wrapText="1" readingOrder="2"/>
    </xf>
    <xf numFmtId="0" fontId="12" fillId="7" borderId="0" xfId="1" applyFont="1" applyFill="1" applyAlignment="1">
      <alignment horizontal="right" vertical="center" wrapText="1" readingOrder="2"/>
    </xf>
    <xf numFmtId="9" fontId="13" fillId="3" borderId="0" xfId="1" applyNumberFormat="1" applyFont="1" applyFill="1" applyAlignment="1">
      <alignment horizontal="center" wrapText="1" readingOrder="2"/>
    </xf>
    <xf numFmtId="0" fontId="13" fillId="0" borderId="0" xfId="1" applyFont="1" applyAlignment="1">
      <alignment horizontal="center" wrapText="1" readingOrder="2"/>
    </xf>
    <xf numFmtId="0" fontId="13" fillId="3" borderId="0" xfId="1" applyFont="1" applyFill="1" applyAlignment="1">
      <alignment horizontal="center" wrapText="1" readingOrder="2"/>
    </xf>
    <xf numFmtId="2" fontId="13" fillId="0" borderId="31" xfId="1" applyNumberFormat="1" applyFont="1" applyBorder="1" applyAlignment="1">
      <alignment horizontal="center"/>
    </xf>
    <xf numFmtId="0" fontId="17" fillId="8" borderId="32" xfId="1" applyFont="1" applyFill="1" applyBorder="1" applyAlignment="1">
      <alignment horizontal="center" vertical="center" wrapText="1" readingOrder="2"/>
    </xf>
    <xf numFmtId="0" fontId="17" fillId="8" borderId="33" xfId="1" applyFont="1" applyFill="1" applyBorder="1" applyAlignment="1">
      <alignment horizontal="center" vertical="center" wrapText="1" readingOrder="2"/>
    </xf>
    <xf numFmtId="0" fontId="17" fillId="8" borderId="4" xfId="1" applyFont="1" applyFill="1" applyBorder="1" applyAlignment="1">
      <alignment horizontal="left" vertical="center" wrapText="1" readingOrder="2"/>
    </xf>
    <xf numFmtId="0" fontId="18" fillId="0" borderId="34" xfId="1" applyFont="1" applyBorder="1" applyAlignment="1">
      <alignment horizontal="right" vertical="center" wrapText="1" readingOrder="2"/>
    </xf>
    <xf numFmtId="0" fontId="18" fillId="0" borderId="27" xfId="1" applyFont="1" applyBorder="1" applyAlignment="1">
      <alignment horizontal="right" vertical="center" wrapText="1" readingOrder="2"/>
    </xf>
    <xf numFmtId="0" fontId="18" fillId="0" borderId="19" xfId="1" applyFont="1" applyBorder="1" applyAlignment="1">
      <alignment horizontal="center" vertical="center" wrapText="1" readingOrder="2"/>
    </xf>
    <xf numFmtId="9" fontId="18" fillId="0" borderId="19" xfId="1" applyNumberFormat="1" applyFont="1" applyBorder="1" applyAlignment="1">
      <alignment horizontal="center" vertical="center" wrapText="1" readingOrder="2"/>
    </xf>
    <xf numFmtId="2" fontId="18" fillId="0" borderId="20" xfId="1" applyNumberFormat="1" applyFont="1" applyBorder="1" applyAlignment="1">
      <alignment horizontal="center" vertical="center" wrapText="1" readingOrder="2"/>
    </xf>
    <xf numFmtId="0" fontId="18" fillId="0" borderId="35" xfId="1" applyFont="1" applyBorder="1" applyAlignment="1">
      <alignment horizontal="right" vertical="center" wrapText="1" readingOrder="2"/>
    </xf>
    <xf numFmtId="0" fontId="18" fillId="0" borderId="28" xfId="1" applyFont="1" applyBorder="1" applyAlignment="1">
      <alignment horizontal="right" vertical="center" wrapText="1" readingOrder="2"/>
    </xf>
    <xf numFmtId="0" fontId="18" fillId="0" borderId="22" xfId="1" applyFont="1" applyBorder="1" applyAlignment="1">
      <alignment horizontal="center" vertical="center" wrapText="1" readingOrder="2"/>
    </xf>
    <xf numFmtId="9" fontId="18" fillId="0" borderId="22" xfId="1" applyNumberFormat="1" applyFont="1" applyBorder="1" applyAlignment="1">
      <alignment horizontal="center" vertical="center" wrapText="1" readingOrder="2"/>
    </xf>
    <xf numFmtId="2" fontId="18" fillId="0" borderId="23" xfId="1" applyNumberFormat="1" applyFont="1" applyBorder="1" applyAlignment="1">
      <alignment horizontal="center" vertical="center" wrapText="1" readingOrder="2"/>
    </xf>
    <xf numFmtId="0" fontId="1" fillId="4" borderId="5" xfId="2" applyFont="1" applyFill="1" applyBorder="1" applyAlignment="1">
      <alignment vertical="center" wrapText="1"/>
    </xf>
    <xf numFmtId="0" fontId="1" fillId="4" borderId="5" xfId="2" applyFont="1" applyFill="1" applyBorder="1" applyAlignment="1">
      <alignment horizontal="center" vertical="center" wrapText="1"/>
    </xf>
    <xf numFmtId="0" fontId="1" fillId="4" borderId="8" xfId="2" applyFont="1" applyFill="1" applyBorder="1" applyAlignment="1">
      <alignment vertical="center" wrapText="1"/>
    </xf>
    <xf numFmtId="0" fontId="1" fillId="4" borderId="18" xfId="2" applyFont="1" applyFill="1" applyBorder="1" applyAlignment="1">
      <alignment horizontal="center" vertical="center" wrapText="1"/>
    </xf>
    <xf numFmtId="0" fontId="13" fillId="10" borderId="19" xfId="1" applyFont="1" applyFill="1" applyBorder="1" applyAlignment="1">
      <alignment horizontal="center" wrapText="1" readingOrder="2"/>
    </xf>
    <xf numFmtId="0" fontId="18" fillId="10" borderId="19" xfId="1" applyFont="1" applyFill="1" applyBorder="1" applyAlignment="1">
      <alignment horizontal="center" vertical="center" wrapText="1" readingOrder="2"/>
    </xf>
    <xf numFmtId="0" fontId="18" fillId="10" borderId="22" xfId="1" applyFont="1" applyFill="1" applyBorder="1" applyAlignment="1">
      <alignment horizontal="center" vertical="center" wrapText="1" readingOrder="2"/>
    </xf>
    <xf numFmtId="0" fontId="3" fillId="3" borderId="0" xfId="0" applyFont="1" applyFill="1" applyAlignment="1">
      <alignment horizontal="right" vertical="center" wrapText="1"/>
    </xf>
    <xf numFmtId="10" fontId="1" fillId="3" borderId="5" xfId="2" applyNumberFormat="1" applyFont="1" applyFill="1" applyBorder="1" applyAlignment="1">
      <alignment horizontal="center"/>
    </xf>
    <xf numFmtId="0" fontId="13" fillId="3" borderId="22" xfId="1" applyFont="1" applyFill="1" applyBorder="1" applyAlignment="1">
      <alignment horizontal="center" wrapText="1" readingOrder="2"/>
    </xf>
    <xf numFmtId="0" fontId="11" fillId="11" borderId="23" xfId="1" applyFont="1" applyFill="1" applyBorder="1" applyAlignment="1">
      <alignment horizontal="center" wrapText="1" readingOrder="2"/>
    </xf>
    <xf numFmtId="0" fontId="4" fillId="3" borderId="0" xfId="0" applyFont="1" applyFill="1" applyAlignment="1">
      <alignment horizontal="right" vertical="center" wrapText="1"/>
    </xf>
    <xf numFmtId="0" fontId="3" fillId="3" borderId="0" xfId="0" applyFont="1" applyFill="1" applyAlignment="1">
      <alignment horizontal="center" vertical="center" wrapText="1"/>
    </xf>
    <xf numFmtId="164" fontId="7" fillId="3" borderId="5" xfId="0" applyNumberFormat="1" applyFont="1" applyFill="1" applyBorder="1" applyAlignment="1">
      <alignment horizontal="center" vertical="center" wrapText="1"/>
    </xf>
    <xf numFmtId="0" fontId="13" fillId="0" borderId="19" xfId="1" applyFont="1" applyBorder="1" applyAlignment="1">
      <alignment horizontal="right" wrapText="1" readingOrder="2"/>
    </xf>
    <xf numFmtId="0" fontId="1" fillId="4" borderId="0" xfId="0" applyFont="1" applyFill="1" applyAlignment="1">
      <alignment horizontal="center" vertical="center" wrapText="1"/>
    </xf>
    <xf numFmtId="164" fontId="0" fillId="3" borderId="0" xfId="0" applyNumberFormat="1" applyFill="1"/>
    <xf numFmtId="0" fontId="1" fillId="3" borderId="0" xfId="0" applyFont="1" applyFill="1" applyAlignment="1">
      <alignment horizontal="center" vertical="center" wrapText="1"/>
    </xf>
    <xf numFmtId="0" fontId="18" fillId="0" borderId="36" xfId="1" applyFont="1" applyBorder="1" applyAlignment="1">
      <alignment vertical="center" wrapText="1"/>
    </xf>
    <xf numFmtId="0" fontId="18" fillId="0" borderId="37" xfId="1" applyFont="1" applyBorder="1" applyAlignment="1">
      <alignment vertical="center" wrapText="1"/>
    </xf>
    <xf numFmtId="0" fontId="18" fillId="0" borderId="38" xfId="1" applyFont="1" applyBorder="1" applyAlignment="1">
      <alignment vertical="center" wrapText="1"/>
    </xf>
    <xf numFmtId="0" fontId="17" fillId="8" borderId="39" xfId="1" applyFont="1" applyFill="1" applyBorder="1" applyAlignment="1">
      <alignment horizontal="center" vertical="center" wrapText="1" readingOrder="2"/>
    </xf>
    <xf numFmtId="0" fontId="17" fillId="8" borderId="41" xfId="1" applyFont="1" applyFill="1" applyBorder="1" applyAlignment="1">
      <alignment horizontal="center" vertical="center" wrapText="1" readingOrder="2"/>
    </xf>
    <xf numFmtId="0" fontId="18" fillId="0" borderId="37" xfId="1" applyFont="1" applyBorder="1" applyAlignment="1">
      <alignment vertical="center" wrapText="1" readingOrder="2"/>
    </xf>
    <xf numFmtId="0" fontId="18" fillId="0" borderId="38" xfId="1" applyFont="1" applyBorder="1" applyAlignment="1">
      <alignment vertical="center" wrapText="1" readingOrder="2"/>
    </xf>
    <xf numFmtId="0" fontId="18" fillId="0" borderId="5" xfId="1" applyFont="1" applyBorder="1" applyAlignment="1">
      <alignment horizontal="right" vertical="center" wrapText="1" readingOrder="2"/>
    </xf>
    <xf numFmtId="2" fontId="18" fillId="0" borderId="5" xfId="1" applyNumberFormat="1" applyFont="1" applyBorder="1" applyAlignment="1">
      <alignment horizontal="center" vertical="center" wrapText="1" readingOrder="2"/>
    </xf>
    <xf numFmtId="0" fontId="17" fillId="8" borderId="5" xfId="1" applyFont="1" applyFill="1" applyBorder="1" applyAlignment="1">
      <alignment horizontal="center" vertical="center" wrapText="1" readingOrder="2"/>
    </xf>
    <xf numFmtId="1" fontId="18" fillId="0" borderId="5" xfId="1" applyNumberFormat="1" applyFont="1" applyBorder="1" applyAlignment="1">
      <alignment horizontal="center" vertical="center" wrapText="1" readingOrder="2"/>
    </xf>
    <xf numFmtId="0" fontId="18" fillId="10" borderId="5" xfId="1" applyFont="1" applyFill="1" applyBorder="1" applyAlignment="1">
      <alignment horizontal="right" vertical="center" wrapText="1" readingOrder="2"/>
    </xf>
    <xf numFmtId="1" fontId="18" fillId="10" borderId="5" xfId="1" applyNumberFormat="1" applyFont="1" applyFill="1" applyBorder="1" applyAlignment="1">
      <alignment horizontal="center" vertical="center" wrapText="1" readingOrder="2"/>
    </xf>
    <xf numFmtId="2" fontId="18" fillId="10" borderId="5" xfId="1" applyNumberFormat="1" applyFont="1" applyFill="1" applyBorder="1" applyAlignment="1">
      <alignment horizontal="center" vertical="center" wrapText="1" readingOrder="2"/>
    </xf>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5" fillId="3" borderId="0" xfId="0" applyFont="1" applyFill="1" applyAlignment="1">
      <alignment horizontal="right" vertical="center"/>
    </xf>
    <xf numFmtId="0" fontId="2" fillId="3" borderId="0" xfId="0" applyFont="1" applyFill="1" applyAlignment="1">
      <alignment horizontal="right" vertical="center" wrapText="1"/>
    </xf>
    <xf numFmtId="0" fontId="4" fillId="10" borderId="1" xfId="0" applyFont="1" applyFill="1" applyBorder="1" applyAlignment="1">
      <alignment horizontal="center"/>
    </xf>
    <xf numFmtId="0" fontId="4" fillId="10" borderId="2" xfId="0" applyFont="1" applyFill="1" applyBorder="1" applyAlignment="1">
      <alignment horizontal="center"/>
    </xf>
    <xf numFmtId="0" fontId="4" fillId="10" borderId="3" xfId="0" applyFont="1" applyFill="1" applyBorder="1" applyAlignment="1">
      <alignment horizontal="center"/>
    </xf>
    <xf numFmtId="0" fontId="1" fillId="3" borderId="0" xfId="0" applyFont="1" applyFill="1" applyAlignment="1">
      <alignment vertical="top"/>
    </xf>
    <xf numFmtId="0" fontId="1" fillId="3" borderId="4" xfId="0" applyFont="1" applyFill="1" applyBorder="1" applyAlignment="1">
      <alignment vertical="top"/>
    </xf>
    <xf numFmtId="0" fontId="1" fillId="4" borderId="5" xfId="0" applyFont="1" applyFill="1" applyBorder="1" applyAlignment="1">
      <alignment horizontal="center" vertical="center" wrapText="1"/>
    </xf>
    <xf numFmtId="0" fontId="3" fillId="10" borderId="5" xfId="0" applyFont="1" applyFill="1" applyBorder="1" applyAlignment="1">
      <alignment horizontal="right" vertical="center" wrapText="1"/>
    </xf>
    <xf numFmtId="0" fontId="3" fillId="10" borderId="5" xfId="0" applyFont="1" applyFill="1" applyBorder="1" applyAlignment="1">
      <alignment horizontal="center" vertical="center" wrapText="1"/>
    </xf>
    <xf numFmtId="0" fontId="7" fillId="3" borderId="6" xfId="0" applyFont="1" applyFill="1" applyBorder="1" applyAlignment="1">
      <alignment horizontal="right" vertical="center" wrapText="1"/>
    </xf>
    <xf numFmtId="0" fontId="7" fillId="3" borderId="7" xfId="0" applyFont="1" applyFill="1" applyBorder="1" applyAlignment="1">
      <alignment horizontal="right" vertical="center" wrapText="1"/>
    </xf>
    <xf numFmtId="0" fontId="7" fillId="3" borderId="8" xfId="0" applyFont="1" applyFill="1" applyBorder="1" applyAlignment="1">
      <alignment horizontal="right" vertical="center" wrapText="1"/>
    </xf>
    <xf numFmtId="0" fontId="3" fillId="3" borderId="5" xfId="0" applyFont="1" applyFill="1" applyBorder="1" applyAlignment="1">
      <alignment horizontal="center" vertical="center" wrapText="1"/>
    </xf>
    <xf numFmtId="164" fontId="3" fillId="3" borderId="24" xfId="0" applyNumberFormat="1" applyFont="1" applyFill="1" applyBorder="1" applyAlignment="1">
      <alignment horizontal="center" vertical="center" wrapText="1"/>
    </xf>
    <xf numFmtId="164" fontId="3" fillId="3" borderId="25" xfId="0" applyNumberFormat="1" applyFont="1" applyFill="1" applyBorder="1" applyAlignment="1">
      <alignment horizontal="center" vertical="center" wrapText="1"/>
    </xf>
    <xf numFmtId="164" fontId="3" fillId="3" borderId="26" xfId="0" applyNumberFormat="1" applyFont="1" applyFill="1" applyBorder="1" applyAlignment="1">
      <alignment horizontal="center" vertical="center" wrapText="1"/>
    </xf>
    <xf numFmtId="0" fontId="4" fillId="10" borderId="9" xfId="0" applyFont="1" applyFill="1" applyBorder="1" applyAlignment="1">
      <alignment horizontal="right" vertical="center" wrapText="1"/>
    </xf>
    <xf numFmtId="0" fontId="4" fillId="10" borderId="10" xfId="0" applyFont="1" applyFill="1" applyBorder="1" applyAlignment="1">
      <alignment horizontal="right" vertical="center" wrapText="1"/>
    </xf>
    <xf numFmtId="0" fontId="4" fillId="10" borderId="11" xfId="0" applyFont="1" applyFill="1" applyBorder="1" applyAlignment="1">
      <alignment horizontal="right" vertical="center" wrapText="1"/>
    </xf>
    <xf numFmtId="0" fontId="4" fillId="10" borderId="12" xfId="0" applyFont="1" applyFill="1" applyBorder="1" applyAlignment="1">
      <alignment horizontal="right" vertical="center" wrapText="1"/>
    </xf>
    <xf numFmtId="0" fontId="4" fillId="10" borderId="0" xfId="0" applyFont="1" applyFill="1" applyAlignment="1">
      <alignment horizontal="right" vertical="center" wrapText="1"/>
    </xf>
    <xf numFmtId="0" fontId="4" fillId="10" borderId="13" xfId="0" applyFont="1" applyFill="1" applyBorder="1" applyAlignment="1">
      <alignment horizontal="right" vertical="center" wrapText="1"/>
    </xf>
    <xf numFmtId="0" fontId="4" fillId="10" borderId="14" xfId="0" applyFont="1" applyFill="1" applyBorder="1" applyAlignment="1">
      <alignment horizontal="right" vertical="center" wrapText="1"/>
    </xf>
    <xf numFmtId="0" fontId="4" fillId="10" borderId="15" xfId="0" applyFont="1" applyFill="1" applyBorder="1" applyAlignment="1">
      <alignment horizontal="right" vertical="center" wrapText="1"/>
    </xf>
    <xf numFmtId="0" fontId="4" fillId="10" borderId="16" xfId="0" applyFont="1" applyFill="1" applyBorder="1" applyAlignment="1">
      <alignment horizontal="right" vertical="center" wrapText="1"/>
    </xf>
    <xf numFmtId="164" fontId="3" fillId="10" borderId="24" xfId="0" applyNumberFormat="1" applyFont="1" applyFill="1" applyBorder="1" applyAlignment="1">
      <alignment horizontal="center" vertical="center" wrapText="1"/>
    </xf>
    <xf numFmtId="164" fontId="3" fillId="10" borderId="25" xfId="0" applyNumberFormat="1" applyFont="1" applyFill="1" applyBorder="1" applyAlignment="1">
      <alignment horizontal="center" vertical="center" wrapText="1"/>
    </xf>
    <xf numFmtId="164" fontId="3" fillId="10" borderId="26" xfId="0" applyNumberFormat="1"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10" borderId="9" xfId="0" applyFont="1" applyFill="1" applyBorder="1" applyAlignment="1">
      <alignment horizontal="right" vertical="center" wrapText="1"/>
    </xf>
    <xf numFmtId="0" fontId="3" fillId="10" borderId="10" xfId="0" applyFont="1" applyFill="1" applyBorder="1" applyAlignment="1">
      <alignment horizontal="right" vertical="center" wrapText="1"/>
    </xf>
    <xf numFmtId="0" fontId="3" fillId="10" borderId="11" xfId="0" applyFont="1" applyFill="1" applyBorder="1" applyAlignment="1">
      <alignment horizontal="right" vertical="center" wrapText="1"/>
    </xf>
    <xf numFmtId="0" fontId="3" fillId="10" borderId="12" xfId="0" applyFont="1" applyFill="1" applyBorder="1" applyAlignment="1">
      <alignment horizontal="right" vertical="center" wrapText="1"/>
    </xf>
    <xf numFmtId="0" fontId="3" fillId="10" borderId="0" xfId="0" applyFont="1" applyFill="1" applyAlignment="1">
      <alignment horizontal="right" vertical="center" wrapText="1"/>
    </xf>
    <xf numFmtId="0" fontId="3" fillId="10" borderId="13" xfId="0" applyFont="1" applyFill="1" applyBorder="1" applyAlignment="1">
      <alignment horizontal="right" vertical="center" wrapText="1"/>
    </xf>
    <xf numFmtId="0" fontId="3" fillId="10" borderId="14" xfId="0" applyFont="1" applyFill="1" applyBorder="1" applyAlignment="1">
      <alignment horizontal="right" vertical="center" wrapText="1"/>
    </xf>
    <xf numFmtId="0" fontId="3" fillId="10" borderId="15" xfId="0" applyFont="1" applyFill="1" applyBorder="1" applyAlignment="1">
      <alignment horizontal="right" vertical="center" wrapText="1"/>
    </xf>
    <xf numFmtId="0" fontId="3" fillId="10" borderId="16" xfId="0" applyFont="1" applyFill="1" applyBorder="1" applyAlignment="1">
      <alignment horizontal="right" vertical="center" wrapText="1"/>
    </xf>
    <xf numFmtId="0" fontId="9" fillId="3" borderId="9" xfId="0" applyFont="1" applyFill="1" applyBorder="1" applyAlignment="1">
      <alignment horizontal="right" vertical="center" wrapText="1"/>
    </xf>
    <xf numFmtId="0" fontId="9" fillId="3" borderId="10" xfId="0" applyFont="1" applyFill="1" applyBorder="1" applyAlignment="1">
      <alignment horizontal="right" vertical="center" wrapText="1"/>
    </xf>
    <xf numFmtId="0" fontId="9" fillId="3" borderId="11" xfId="0" applyFont="1" applyFill="1" applyBorder="1" applyAlignment="1">
      <alignment horizontal="right" vertical="center" wrapText="1"/>
    </xf>
    <xf numFmtId="0" fontId="9" fillId="3" borderId="12" xfId="0" applyFont="1" applyFill="1" applyBorder="1" applyAlignment="1">
      <alignment horizontal="right" vertical="center" wrapText="1"/>
    </xf>
    <xf numFmtId="0" fontId="9" fillId="3" borderId="0" xfId="0" applyFont="1" applyFill="1" applyAlignment="1">
      <alignment horizontal="right" vertical="center" wrapText="1"/>
    </xf>
    <xf numFmtId="0" fontId="9" fillId="3" borderId="13" xfId="0" applyFont="1" applyFill="1" applyBorder="1" applyAlignment="1">
      <alignment horizontal="right" vertical="center" wrapText="1"/>
    </xf>
    <xf numFmtId="0" fontId="9" fillId="3" borderId="14" xfId="0" applyFont="1" applyFill="1" applyBorder="1" applyAlignment="1">
      <alignment horizontal="right" vertical="center" wrapText="1"/>
    </xf>
    <xf numFmtId="0" fontId="9" fillId="3" borderId="15" xfId="0" applyFont="1" applyFill="1" applyBorder="1" applyAlignment="1">
      <alignment horizontal="right" vertical="center" wrapText="1"/>
    </xf>
    <xf numFmtId="0" fontId="9" fillId="3" borderId="16" xfId="0" applyFont="1" applyFill="1" applyBorder="1" applyAlignment="1">
      <alignment horizontal="right" vertical="center" wrapText="1"/>
    </xf>
    <xf numFmtId="0" fontId="3" fillId="3" borderId="9" xfId="0" applyFont="1" applyFill="1" applyBorder="1" applyAlignment="1">
      <alignment horizontal="right" vertical="center" wrapText="1"/>
    </xf>
    <xf numFmtId="0" fontId="3" fillId="3" borderId="10" xfId="0" applyFont="1" applyFill="1" applyBorder="1" applyAlignment="1">
      <alignment horizontal="right" vertical="center" wrapText="1"/>
    </xf>
    <xf numFmtId="0" fontId="3" fillId="3" borderId="11" xfId="0" applyFont="1" applyFill="1" applyBorder="1" applyAlignment="1">
      <alignment horizontal="right" vertical="center" wrapText="1"/>
    </xf>
    <xf numFmtId="0" fontId="3" fillId="3" borderId="12" xfId="0" applyFont="1" applyFill="1" applyBorder="1" applyAlignment="1">
      <alignment horizontal="right" vertical="center" wrapText="1"/>
    </xf>
    <xf numFmtId="0" fontId="3" fillId="3" borderId="0" xfId="0" applyFont="1" applyFill="1" applyAlignment="1">
      <alignment horizontal="right" vertical="center" wrapText="1"/>
    </xf>
    <xf numFmtId="0" fontId="3" fillId="3" borderId="13" xfId="0" applyFont="1" applyFill="1" applyBorder="1" applyAlignment="1">
      <alignment horizontal="right" vertical="center" wrapText="1"/>
    </xf>
    <xf numFmtId="0" fontId="3" fillId="3" borderId="14" xfId="0" applyFont="1" applyFill="1" applyBorder="1" applyAlignment="1">
      <alignment horizontal="right" vertical="center" wrapText="1"/>
    </xf>
    <xf numFmtId="0" fontId="3" fillId="3" borderId="15" xfId="0" applyFont="1" applyFill="1" applyBorder="1" applyAlignment="1">
      <alignment horizontal="right" vertical="center" wrapText="1"/>
    </xf>
    <xf numFmtId="0" fontId="3" fillId="3" borderId="16" xfId="0" applyFont="1" applyFill="1" applyBorder="1" applyAlignment="1">
      <alignment horizontal="right" vertical="center" wrapText="1"/>
    </xf>
    <xf numFmtId="0" fontId="15" fillId="9" borderId="24" xfId="1" applyFont="1" applyFill="1" applyBorder="1" applyAlignment="1">
      <alignment horizontal="center" vertical="center" wrapText="1" readingOrder="2"/>
    </xf>
    <xf numFmtId="0" fontId="15" fillId="9" borderId="25" xfId="1" applyFont="1" applyFill="1" applyBorder="1" applyAlignment="1">
      <alignment horizontal="center" vertical="center" wrapText="1" readingOrder="2"/>
    </xf>
    <xf numFmtId="0" fontId="15" fillId="9" borderId="26" xfId="1" applyFont="1" applyFill="1" applyBorder="1" applyAlignment="1">
      <alignment horizontal="center" vertical="center" wrapText="1" readingOrder="2"/>
    </xf>
    <xf numFmtId="10" fontId="13" fillId="0" borderId="24" xfId="1" applyNumberFormat="1" applyFont="1" applyBorder="1" applyAlignment="1">
      <alignment horizontal="center" vertical="center"/>
    </xf>
    <xf numFmtId="10" fontId="13" fillId="0" borderId="25" xfId="1" applyNumberFormat="1" applyFont="1" applyBorder="1" applyAlignment="1">
      <alignment horizontal="center" vertical="center"/>
    </xf>
    <xf numFmtId="10" fontId="13" fillId="0" borderId="26" xfId="1" applyNumberFormat="1" applyFont="1" applyBorder="1" applyAlignment="1">
      <alignment horizontal="center" vertical="center"/>
    </xf>
    <xf numFmtId="49" fontId="8" fillId="10" borderId="24" xfId="2" applyNumberFormat="1" applyFont="1" applyFill="1" applyBorder="1" applyAlignment="1">
      <alignment horizontal="center" vertical="center" wrapText="1"/>
    </xf>
    <xf numFmtId="49" fontId="8" fillId="10" borderId="25" xfId="2" applyNumberFormat="1" applyFont="1" applyFill="1" applyBorder="1" applyAlignment="1">
      <alignment horizontal="center" vertical="center" wrapText="1"/>
    </xf>
    <xf numFmtId="49" fontId="8" fillId="10" borderId="26" xfId="2" applyNumberFormat="1" applyFont="1" applyFill="1" applyBorder="1" applyAlignment="1">
      <alignment horizontal="center" vertical="center" wrapText="1"/>
    </xf>
    <xf numFmtId="49" fontId="8" fillId="4" borderId="24" xfId="2" applyNumberFormat="1" applyFont="1" applyFill="1" applyBorder="1" applyAlignment="1">
      <alignment horizontal="center" vertical="center" wrapText="1"/>
    </xf>
    <xf numFmtId="49" fontId="8" fillId="4" borderId="25" xfId="2" applyNumberFormat="1" applyFont="1" applyFill="1" applyBorder="1" applyAlignment="1">
      <alignment horizontal="center" vertical="center" wrapText="1"/>
    </xf>
    <xf numFmtId="49" fontId="8" fillId="4" borderId="26" xfId="2" applyNumberFormat="1" applyFont="1" applyFill="1" applyBorder="1" applyAlignment="1">
      <alignment horizontal="center" vertical="center" wrapText="1"/>
    </xf>
    <xf numFmtId="0" fontId="11" fillId="10" borderId="40" xfId="1" applyFont="1" applyFill="1" applyBorder="1" applyAlignment="1">
      <alignment horizontal="center"/>
    </xf>
    <xf numFmtId="0" fontId="16" fillId="10" borderId="30" xfId="1" applyFont="1" applyFill="1" applyBorder="1"/>
    <xf numFmtId="0" fontId="11" fillId="0" borderId="29" xfId="1" applyFont="1" applyBorder="1" applyAlignment="1">
      <alignment horizontal="center" vertical="center"/>
    </xf>
    <xf numFmtId="0" fontId="16" fillId="0" borderId="30" xfId="1" applyFont="1" applyBorder="1" applyAlignment="1">
      <alignment vertical="center"/>
    </xf>
    <xf numFmtId="0" fontId="11" fillId="10" borderId="29" xfId="1" applyFont="1" applyFill="1" applyBorder="1" applyAlignment="1">
      <alignment horizontal="center"/>
    </xf>
  </cellXfs>
  <cellStyles count="3">
    <cellStyle name="Normal" xfId="0" builtinId="0"/>
    <cellStyle name="Normal 2" xfId="1" xr:uid="{47CF9956-BD6C-4885-B75D-4CBE69905A55}"/>
    <cellStyle name="Normal 3" xfId="2" xr:uid="{CAC7F952-AB00-4878-8085-9C61BEFEBB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104775</xdr:colOff>
      <xdr:row>1</xdr:row>
      <xdr:rowOff>19050</xdr:rowOff>
    </xdr:from>
    <xdr:to>
      <xdr:col>10</xdr:col>
      <xdr:colOff>594911</xdr:colOff>
      <xdr:row>7</xdr:row>
      <xdr:rowOff>137423</xdr:rowOff>
    </xdr:to>
    <xdr:pic>
      <xdr:nvPicPr>
        <xdr:cNvPr id="2" name="Picture 1" descr="A girl buying items from storeguy." title="Header Graphics">
          <a:extLst>
            <a:ext uri="{FF2B5EF4-FFF2-40B4-BE49-F238E27FC236}">
              <a16:creationId xmlns:a16="http://schemas.microsoft.com/office/drawing/2014/main" id="{3C8F38E2-ECC2-4064-B1AC-5A69C765C468}"/>
            </a:ext>
          </a:extLst>
        </xdr:cNvPr>
        <xdr:cNvPicPr>
          <a:picLocks noChangeAspect="1"/>
        </xdr:cNvPicPr>
      </xdr:nvPicPr>
      <xdr:blipFill rotWithShape="1">
        <a:blip xmlns:r="http://schemas.openxmlformats.org/officeDocument/2006/relationships" r:embed="rId1" cstate="print">
          <a:clrChange>
            <a:clrFrom>
              <a:srgbClr val="94B3C7"/>
            </a:clrFrom>
            <a:clrTo>
              <a:srgbClr val="94B3C7">
                <a:alpha val="0"/>
              </a:srgbClr>
            </a:clrTo>
          </a:clrChange>
          <a:extLst>
            <a:ext uri="{28A0092B-C50C-407E-A947-70E740481C1C}">
              <a14:useLocalDpi xmlns:a14="http://schemas.microsoft.com/office/drawing/2010/main" val="0"/>
            </a:ext>
          </a:extLst>
        </a:blip>
        <a:srcRect r="45563"/>
        <a:stretch/>
      </xdr:blipFill>
      <xdr:spPr>
        <a:xfrm>
          <a:off x="9981605089" y="584200"/>
          <a:ext cx="2318936" cy="1261373"/>
        </a:xfrm>
        <a:prstGeom prst="rect">
          <a:avLst/>
        </a:prstGeom>
      </xdr:spPr>
    </xdr:pic>
    <xdr:clientData/>
  </xdr:twoCellAnchor>
  <xdr:twoCellAnchor editAs="oneCell">
    <xdr:from>
      <xdr:col>1</xdr:col>
      <xdr:colOff>234074</xdr:colOff>
      <xdr:row>1</xdr:row>
      <xdr:rowOff>130176</xdr:rowOff>
    </xdr:from>
    <xdr:to>
      <xdr:col>3</xdr:col>
      <xdr:colOff>92075</xdr:colOff>
      <xdr:row>7</xdr:row>
      <xdr:rowOff>34925</xdr:rowOff>
    </xdr:to>
    <xdr:pic>
      <xdr:nvPicPr>
        <xdr:cNvPr id="3" name="Picture 2" descr="undefined">
          <a:extLst>
            <a:ext uri="{FF2B5EF4-FFF2-40B4-BE49-F238E27FC236}">
              <a16:creationId xmlns:a16="http://schemas.microsoft.com/office/drawing/2014/main" id="{904C442A-1DEE-4D7D-82E1-C5052D5755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86384650" y="695326"/>
          <a:ext cx="1067676" cy="1047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371475</xdr:colOff>
      <xdr:row>0</xdr:row>
      <xdr:rowOff>95250</xdr:rowOff>
    </xdr:from>
    <xdr:to>
      <xdr:col>13</xdr:col>
      <xdr:colOff>87707</xdr:colOff>
      <xdr:row>0</xdr:row>
      <xdr:rowOff>475092</xdr:rowOff>
    </xdr:to>
    <xdr:sp macro="" textlink="">
      <xdr:nvSpPr>
        <xdr:cNvPr id="6" name="Freeform 13">
          <a:extLst>
            <a:ext uri="{FF2B5EF4-FFF2-40B4-BE49-F238E27FC236}">
              <a16:creationId xmlns:a16="http://schemas.microsoft.com/office/drawing/2014/main" id="{853A317E-14E1-4623-BF08-383919CBF75D}"/>
            </a:ext>
          </a:extLst>
        </xdr:cNvPr>
        <xdr:cNvSpPr/>
      </xdr:nvSpPr>
      <xdr:spPr>
        <a:xfrm>
          <a:off x="512368" y="95250"/>
          <a:ext cx="1802207" cy="379842"/>
        </a:xfrm>
        <a:custGeom>
          <a:avLst/>
          <a:gdLst/>
          <a:ahLst/>
          <a:cxnLst/>
          <a:rect l="l" t="t" r="r" b="b"/>
          <a:pathLst>
            <a:path w="4484485" h="1223041">
              <a:moveTo>
                <a:pt x="0" y="0"/>
              </a:moveTo>
              <a:lnTo>
                <a:pt x="4484485" y="0"/>
              </a:lnTo>
              <a:lnTo>
                <a:pt x="4484485" y="1223042"/>
              </a:lnTo>
              <a:lnTo>
                <a:pt x="0" y="1223042"/>
              </a:lnTo>
              <a:lnTo>
                <a:pt x="0" y="0"/>
              </a:lnTo>
              <a:close/>
            </a:path>
          </a:pathLst>
        </a:custGeom>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xdr:spPr>
      <xdr:txBody>
        <a:bodyPr wrap="square"/>
        <a:lstStyle>
          <a:defPPr>
            <a:defRPr lang="en-I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IL" sz="12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104775</xdr:colOff>
      <xdr:row>1</xdr:row>
      <xdr:rowOff>19050</xdr:rowOff>
    </xdr:from>
    <xdr:to>
      <xdr:col>10</xdr:col>
      <xdr:colOff>597632</xdr:colOff>
      <xdr:row>7</xdr:row>
      <xdr:rowOff>140144</xdr:rowOff>
    </xdr:to>
    <xdr:pic>
      <xdr:nvPicPr>
        <xdr:cNvPr id="2" name="Picture 1" descr="A girl buying items from storeguy." title="Header Graphics">
          <a:extLst>
            <a:ext uri="{FF2B5EF4-FFF2-40B4-BE49-F238E27FC236}">
              <a16:creationId xmlns:a16="http://schemas.microsoft.com/office/drawing/2014/main" id="{EAF1F584-7E43-4B78-8140-EF79CB419A96}"/>
            </a:ext>
          </a:extLst>
        </xdr:cNvPr>
        <xdr:cNvPicPr>
          <a:picLocks noChangeAspect="1"/>
        </xdr:cNvPicPr>
      </xdr:nvPicPr>
      <xdr:blipFill rotWithShape="1">
        <a:blip xmlns:r="http://schemas.openxmlformats.org/officeDocument/2006/relationships" r:embed="rId1" cstate="print">
          <a:clrChange>
            <a:clrFrom>
              <a:srgbClr val="94B3C7"/>
            </a:clrFrom>
            <a:clrTo>
              <a:srgbClr val="94B3C7">
                <a:alpha val="0"/>
              </a:srgbClr>
            </a:clrTo>
          </a:clrChange>
          <a:extLst>
            <a:ext uri="{28A0092B-C50C-407E-A947-70E740481C1C}">
              <a14:useLocalDpi xmlns:a14="http://schemas.microsoft.com/office/drawing/2010/main" val="0"/>
            </a:ext>
          </a:extLst>
        </a:blip>
        <a:srcRect r="45563"/>
        <a:stretch/>
      </xdr:blipFill>
      <xdr:spPr>
        <a:xfrm>
          <a:off x="770339" y="584200"/>
          <a:ext cx="2315761" cy="1261373"/>
        </a:xfrm>
        <a:prstGeom prst="rect">
          <a:avLst/>
        </a:prstGeom>
      </xdr:spPr>
    </xdr:pic>
    <xdr:clientData/>
  </xdr:twoCellAnchor>
  <xdr:twoCellAnchor editAs="oneCell">
    <xdr:from>
      <xdr:col>1</xdr:col>
      <xdr:colOff>234074</xdr:colOff>
      <xdr:row>1</xdr:row>
      <xdr:rowOff>130176</xdr:rowOff>
    </xdr:from>
    <xdr:to>
      <xdr:col>3</xdr:col>
      <xdr:colOff>94796</xdr:colOff>
      <xdr:row>7</xdr:row>
      <xdr:rowOff>34925</xdr:rowOff>
    </xdr:to>
    <xdr:pic>
      <xdr:nvPicPr>
        <xdr:cNvPr id="3" name="Picture 2" descr="undefined">
          <a:extLst>
            <a:ext uri="{FF2B5EF4-FFF2-40B4-BE49-F238E27FC236}">
              <a16:creationId xmlns:a16="http://schemas.microsoft.com/office/drawing/2014/main" id="{4E6DCD9C-21F4-47BA-B075-71824C8B03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40375" y="695326"/>
          <a:ext cx="1074026" cy="1047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527050</xdr:colOff>
      <xdr:row>0</xdr:row>
      <xdr:rowOff>95250</xdr:rowOff>
    </xdr:from>
    <xdr:to>
      <xdr:col>12</xdr:col>
      <xdr:colOff>87707</xdr:colOff>
      <xdr:row>0</xdr:row>
      <xdr:rowOff>475092</xdr:rowOff>
    </xdr:to>
    <xdr:sp macro="" textlink="">
      <xdr:nvSpPr>
        <xdr:cNvPr id="4" name="Freeform 13">
          <a:extLst>
            <a:ext uri="{FF2B5EF4-FFF2-40B4-BE49-F238E27FC236}">
              <a16:creationId xmlns:a16="http://schemas.microsoft.com/office/drawing/2014/main" id="{4D4B1F01-26EF-48F0-9E64-0E4AC8393CEF}"/>
            </a:ext>
          </a:extLst>
        </xdr:cNvPr>
        <xdr:cNvSpPr/>
      </xdr:nvSpPr>
      <xdr:spPr>
        <a:xfrm>
          <a:off x="55168" y="95250"/>
          <a:ext cx="1389457" cy="379842"/>
        </a:xfrm>
        <a:custGeom>
          <a:avLst/>
          <a:gdLst/>
          <a:ahLst/>
          <a:cxnLst/>
          <a:rect l="l" t="t" r="r" b="b"/>
          <a:pathLst>
            <a:path w="4484485" h="1223041">
              <a:moveTo>
                <a:pt x="0" y="0"/>
              </a:moveTo>
              <a:lnTo>
                <a:pt x="4484485" y="0"/>
              </a:lnTo>
              <a:lnTo>
                <a:pt x="4484485" y="1223042"/>
              </a:lnTo>
              <a:lnTo>
                <a:pt x="0" y="1223042"/>
              </a:lnTo>
              <a:lnTo>
                <a:pt x="0" y="0"/>
              </a:lnTo>
              <a:close/>
            </a:path>
          </a:pathLst>
        </a:custGeom>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xdr:spPr>
      <xdr:txBody>
        <a:bodyPr wrap="square"/>
        <a:lstStyle>
          <a:defPPr>
            <a:defRPr lang="en-I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IL"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377825</xdr:colOff>
      <xdr:row>0</xdr:row>
      <xdr:rowOff>152400</xdr:rowOff>
    </xdr:from>
    <xdr:to>
      <xdr:col>19</xdr:col>
      <xdr:colOff>52782</xdr:colOff>
      <xdr:row>0</xdr:row>
      <xdr:rowOff>434975</xdr:rowOff>
    </xdr:to>
    <xdr:sp macro="" textlink="">
      <xdr:nvSpPr>
        <xdr:cNvPr id="4" name="Freeform 13">
          <a:extLst>
            <a:ext uri="{FF2B5EF4-FFF2-40B4-BE49-F238E27FC236}">
              <a16:creationId xmlns:a16="http://schemas.microsoft.com/office/drawing/2014/main" id="{13181BAE-3286-4CAB-9177-7AF8418E9B0A}"/>
            </a:ext>
          </a:extLst>
        </xdr:cNvPr>
        <xdr:cNvSpPr/>
      </xdr:nvSpPr>
      <xdr:spPr>
        <a:xfrm>
          <a:off x="93268" y="152400"/>
          <a:ext cx="913207" cy="282575"/>
        </a:xfrm>
        <a:custGeom>
          <a:avLst/>
          <a:gdLst/>
          <a:ahLst/>
          <a:cxnLst/>
          <a:rect l="l" t="t" r="r" b="b"/>
          <a:pathLst>
            <a:path w="4484485" h="1223041">
              <a:moveTo>
                <a:pt x="0" y="0"/>
              </a:moveTo>
              <a:lnTo>
                <a:pt x="4484485" y="0"/>
              </a:lnTo>
              <a:lnTo>
                <a:pt x="4484485" y="1223042"/>
              </a:lnTo>
              <a:lnTo>
                <a:pt x="0" y="1223042"/>
              </a:lnTo>
              <a:lnTo>
                <a:pt x="0" y="0"/>
              </a:lnTo>
              <a:close/>
            </a:path>
          </a:pathLst>
        </a:custGeom>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xdr:spPr>
      <xdr:txBody>
        <a:bodyPr wrap="square"/>
        <a:lstStyle>
          <a:defPPr>
            <a:defRPr lang="en-I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IL"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377825</xdr:colOff>
      <xdr:row>0</xdr:row>
      <xdr:rowOff>152400</xdr:rowOff>
    </xdr:from>
    <xdr:to>
      <xdr:col>17</xdr:col>
      <xdr:colOff>52782</xdr:colOff>
      <xdr:row>0</xdr:row>
      <xdr:rowOff>434975</xdr:rowOff>
    </xdr:to>
    <xdr:sp macro="" textlink="">
      <xdr:nvSpPr>
        <xdr:cNvPr id="5" name="Freeform 13">
          <a:extLst>
            <a:ext uri="{FF2B5EF4-FFF2-40B4-BE49-F238E27FC236}">
              <a16:creationId xmlns:a16="http://schemas.microsoft.com/office/drawing/2014/main" id="{F70BF0D1-5582-40B8-8D2A-3A3FB51AB675}"/>
            </a:ext>
          </a:extLst>
        </xdr:cNvPr>
        <xdr:cNvSpPr/>
      </xdr:nvSpPr>
      <xdr:spPr>
        <a:xfrm>
          <a:off x="93268" y="152400"/>
          <a:ext cx="913207" cy="282575"/>
        </a:xfrm>
        <a:custGeom>
          <a:avLst/>
          <a:gdLst/>
          <a:ahLst/>
          <a:cxnLst/>
          <a:rect l="l" t="t" r="r" b="b"/>
          <a:pathLst>
            <a:path w="4484485" h="1223041">
              <a:moveTo>
                <a:pt x="0" y="0"/>
              </a:moveTo>
              <a:lnTo>
                <a:pt x="4484485" y="0"/>
              </a:lnTo>
              <a:lnTo>
                <a:pt x="4484485" y="1223042"/>
              </a:lnTo>
              <a:lnTo>
                <a:pt x="0" y="1223042"/>
              </a:lnTo>
              <a:lnTo>
                <a:pt x="0" y="0"/>
              </a:lnTo>
              <a:close/>
            </a:path>
          </a:pathLst>
        </a:custGeom>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xdr:spPr>
      <xdr:txBody>
        <a:bodyPr wrap="square"/>
        <a:lstStyle>
          <a:defPPr>
            <a:defRPr lang="en-I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IL" sz="1200"/>
        </a:p>
      </xdr:txBody>
    </xdr:sp>
    <xdr:clientData/>
  </xdr:twoCellAnchor>
  <xdr:twoCellAnchor>
    <xdr:from>
      <xdr:col>6</xdr:col>
      <xdr:colOff>299358</xdr:colOff>
      <xdr:row>0</xdr:row>
      <xdr:rowOff>117475</xdr:rowOff>
    </xdr:from>
    <xdr:to>
      <xdr:col>8</xdr:col>
      <xdr:colOff>1983</xdr:colOff>
      <xdr:row>0</xdr:row>
      <xdr:rowOff>506186</xdr:rowOff>
    </xdr:to>
    <xdr:sp macro="" textlink="">
      <xdr:nvSpPr>
        <xdr:cNvPr id="6" name="Freeform 13">
          <a:extLst>
            <a:ext uri="{FF2B5EF4-FFF2-40B4-BE49-F238E27FC236}">
              <a16:creationId xmlns:a16="http://schemas.microsoft.com/office/drawing/2014/main" id="{26A55127-B11A-4183-9CBE-0498213B1D5C}"/>
            </a:ext>
          </a:extLst>
        </xdr:cNvPr>
        <xdr:cNvSpPr/>
      </xdr:nvSpPr>
      <xdr:spPr>
        <a:xfrm>
          <a:off x="248388" y="117475"/>
          <a:ext cx="1074225" cy="388711"/>
        </a:xfrm>
        <a:custGeom>
          <a:avLst/>
          <a:gdLst/>
          <a:ahLst/>
          <a:cxnLst/>
          <a:rect l="l" t="t" r="r" b="b"/>
          <a:pathLst>
            <a:path w="4484485" h="1223041">
              <a:moveTo>
                <a:pt x="0" y="0"/>
              </a:moveTo>
              <a:lnTo>
                <a:pt x="4484485" y="0"/>
              </a:lnTo>
              <a:lnTo>
                <a:pt x="4484485" y="1223042"/>
              </a:lnTo>
              <a:lnTo>
                <a:pt x="0" y="1223042"/>
              </a:lnTo>
              <a:lnTo>
                <a:pt x="0" y="0"/>
              </a:lnTo>
              <a:close/>
            </a:path>
          </a:pathLst>
        </a:custGeom>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xdr:spPr>
      <xdr:txBody>
        <a:bodyPr wrap="square"/>
        <a:lstStyle>
          <a:defPPr>
            <a:defRPr lang="en-I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IL"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231741</xdr:colOff>
      <xdr:row>0</xdr:row>
      <xdr:rowOff>23690</xdr:rowOff>
    </xdr:from>
    <xdr:to>
      <xdr:col>7</xdr:col>
      <xdr:colOff>136554</xdr:colOff>
      <xdr:row>0</xdr:row>
      <xdr:rowOff>366590</xdr:rowOff>
    </xdr:to>
    <xdr:sp macro="" textlink="">
      <xdr:nvSpPr>
        <xdr:cNvPr id="2" name="Freeform 13">
          <a:extLst>
            <a:ext uri="{FF2B5EF4-FFF2-40B4-BE49-F238E27FC236}">
              <a16:creationId xmlns:a16="http://schemas.microsoft.com/office/drawing/2014/main" id="{0E961EFA-596A-47E0-BEC9-337DF1642F4F}"/>
            </a:ext>
          </a:extLst>
        </xdr:cNvPr>
        <xdr:cNvSpPr/>
      </xdr:nvSpPr>
      <xdr:spPr>
        <a:xfrm>
          <a:off x="180946" y="23690"/>
          <a:ext cx="1272506" cy="342900"/>
        </a:xfrm>
        <a:custGeom>
          <a:avLst/>
          <a:gdLst/>
          <a:ahLst/>
          <a:cxnLst/>
          <a:rect l="l" t="t" r="r" b="b"/>
          <a:pathLst>
            <a:path w="4484485" h="1223041">
              <a:moveTo>
                <a:pt x="0" y="0"/>
              </a:moveTo>
              <a:lnTo>
                <a:pt x="4484485" y="0"/>
              </a:lnTo>
              <a:lnTo>
                <a:pt x="4484485" y="1223042"/>
              </a:lnTo>
              <a:lnTo>
                <a:pt x="0" y="1223042"/>
              </a:lnTo>
              <a:lnTo>
                <a:pt x="0" y="0"/>
              </a:lnTo>
              <a:close/>
            </a:path>
          </a:pathLst>
        </a:custGeom>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xdr:spPr>
      <xdr:txBody>
        <a:bodyPr wrap="square"/>
        <a:lstStyle>
          <a:defPPr>
            <a:defRPr lang="en-I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IL" sz="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itzan\Downloads\DOC%20&#1502;&#1511;&#1505;%20&#1488;&#1497;&#1493;&#1502;&#1497;%20&#1497;&#1497;&#1495;&#1493;&#1505;%2014.02.2024.xlsx" TargetMode="External"/><Relationship Id="rId1" Type="http://schemas.openxmlformats.org/officeDocument/2006/relationships/externalLinkPath" Target="/Users/nitzan/Downloads/DOC%20&#1502;&#1511;&#1505;%20&#1488;&#1497;&#1493;&#1502;&#1497;%20&#1497;&#1497;&#1495;&#1493;&#1505;%2014.02.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ניהול סיכונים"/>
      <sheetName val="סיכום"/>
      <sheetName val="איומי ייחוס לפיתוח"/>
      <sheetName val="תרחישים"/>
      <sheetName val="גורמי איום"/>
      <sheetName val="הערכת איום"/>
      <sheetName val="הגדרות"/>
    </sheetNames>
    <sheetDataSet>
      <sheetData sheetId="0"/>
      <sheetData sheetId="1"/>
      <sheetData sheetId="2"/>
      <sheetData sheetId="3">
        <row r="2">
          <cell r="B2" t="str">
            <v>התקפת כופרה</v>
          </cell>
          <cell r="H2" t="str">
            <v>התפרצות קוד עויין (malware)</v>
          </cell>
          <cell r="N2" t="str">
            <v>מתקפת מניעת שירות מבוזרת DDoS</v>
          </cell>
        </row>
        <row r="3">
          <cell r="B3" t="str">
            <v>מאפיין</v>
          </cell>
          <cell r="C3" t="str">
            <v>ערכים רלבנטיים</v>
          </cell>
          <cell r="D3" t="str">
            <v>ציון</v>
          </cell>
          <cell r="E3" t="str">
            <v>משקל</v>
          </cell>
          <cell r="F3"/>
          <cell r="H3" t="str">
            <v>מאפיין</v>
          </cell>
          <cell r="I3" t="str">
            <v>ערכים רלבנטיים</v>
          </cell>
          <cell r="J3" t="str">
            <v>ציון</v>
          </cell>
          <cell r="K3" t="str">
            <v>משקל</v>
          </cell>
          <cell r="L3"/>
          <cell r="N3" t="str">
            <v>מאפיין</v>
          </cell>
          <cell r="O3" t="str">
            <v>ערכים רלבנטיים</v>
          </cell>
          <cell r="P3" t="str">
            <v>ציון</v>
          </cell>
          <cell r="Q3" t="str">
            <v>משקל</v>
          </cell>
          <cell r="R3"/>
        </row>
        <row r="4">
          <cell r="B4" t="str">
            <v>נזק למידע</v>
          </cell>
          <cell r="C4" t="str">
            <v>נזק מהותי למידע</v>
          </cell>
          <cell r="D4">
            <v>5</v>
          </cell>
          <cell r="E4">
            <v>0.25</v>
          </cell>
          <cell r="F4">
            <v>1.25</v>
          </cell>
          <cell r="H4" t="str">
            <v>נזק למידע</v>
          </cell>
          <cell r="I4" t="str">
            <v>נזק מהותי למידע</v>
          </cell>
          <cell r="J4">
            <v>5</v>
          </cell>
          <cell r="K4">
            <v>0.25</v>
          </cell>
          <cell r="L4">
            <v>1.25</v>
          </cell>
          <cell r="N4" t="str">
            <v>נזק למידע</v>
          </cell>
          <cell r="O4" t="str">
            <v>אין נזק למידע</v>
          </cell>
          <cell r="P4">
            <v>1</v>
          </cell>
          <cell r="Q4">
            <v>0.25</v>
          </cell>
          <cell r="R4">
            <v>0.25</v>
          </cell>
        </row>
        <row r="5">
          <cell r="B5" t="str">
            <v>גניבת מידע</v>
          </cell>
          <cell r="C5" t="str">
            <v>גניבה של מידע לא מהותי</v>
          </cell>
          <cell r="D5">
            <v>2</v>
          </cell>
          <cell r="E5">
            <v>0.19</v>
          </cell>
          <cell r="F5">
            <v>0.38</v>
          </cell>
          <cell r="H5" t="str">
            <v>גניבת מידע</v>
          </cell>
          <cell r="I5" t="str">
            <v>גניבה של מידע בסיווג נמוך</v>
          </cell>
          <cell r="J5">
            <v>3</v>
          </cell>
          <cell r="K5">
            <v>0.19</v>
          </cell>
          <cell r="L5">
            <v>0.57000000000000006</v>
          </cell>
          <cell r="N5" t="str">
            <v>גניבת מידע</v>
          </cell>
          <cell r="O5" t="str">
            <v>לא בוצעה גניבה של מידע</v>
          </cell>
          <cell r="P5">
            <v>1</v>
          </cell>
          <cell r="Q5">
            <v>0.19</v>
          </cell>
          <cell r="R5">
            <v>0.19</v>
          </cell>
        </row>
        <row r="6">
          <cell r="B6" t="str">
            <v>גניבת כסף</v>
          </cell>
          <cell r="C6" t="str">
            <v>גניבה של סכומי כסף לא מהותיים</v>
          </cell>
          <cell r="D6">
            <v>2</v>
          </cell>
          <cell r="E6">
            <v>0.19</v>
          </cell>
          <cell r="F6">
            <v>0.38</v>
          </cell>
          <cell r="H6" t="str">
            <v>גניבת כסף</v>
          </cell>
          <cell r="I6" t="str">
            <v>גניבה של סכומי כסף ניכרים</v>
          </cell>
          <cell r="J6">
            <v>3</v>
          </cell>
          <cell r="K6">
            <v>0.19</v>
          </cell>
          <cell r="L6">
            <v>0.57000000000000006</v>
          </cell>
          <cell r="N6" t="str">
            <v>גניבת כסף</v>
          </cell>
          <cell r="O6" t="str">
            <v>לא בוצעה גניבה של כסף</v>
          </cell>
          <cell r="P6">
            <v>1</v>
          </cell>
          <cell r="Q6">
            <v>0.19</v>
          </cell>
          <cell r="R6">
            <v>0.19</v>
          </cell>
        </row>
        <row r="7">
          <cell r="B7" t="str">
            <v>השבתה של הפעילות</v>
          </cell>
          <cell r="C7" t="str">
            <v>השבתה של חלק מהותי מהפעילות הארגונית</v>
          </cell>
          <cell r="D7">
            <v>4</v>
          </cell>
          <cell r="E7">
            <v>0.17</v>
          </cell>
          <cell r="F7">
            <v>0.68</v>
          </cell>
          <cell r="H7" t="str">
            <v>השבתה של הפעילות</v>
          </cell>
          <cell r="I7" t="str">
            <v>השבתה חלקית של הפעילות הארגונית</v>
          </cell>
          <cell r="J7">
            <v>3</v>
          </cell>
          <cell r="K7">
            <v>0.17</v>
          </cell>
          <cell r="L7">
            <v>0.51</v>
          </cell>
          <cell r="N7" t="str">
            <v>השבתה של הפעילות</v>
          </cell>
          <cell r="O7" t="str">
            <v>השבתה של חלק מהותי מהפעילות הארגונית</v>
          </cell>
          <cell r="P7">
            <v>4</v>
          </cell>
          <cell r="Q7">
            <v>0.17</v>
          </cell>
          <cell r="R7">
            <v>0.68</v>
          </cell>
        </row>
        <row r="8">
          <cell r="B8" t="str">
            <v>פגיעה באנשי מפתח</v>
          </cell>
          <cell r="C8" t="str">
            <v>אין פגיעה באנשי מפתח</v>
          </cell>
          <cell r="D8">
            <v>1</v>
          </cell>
          <cell r="E8">
            <v>0.08</v>
          </cell>
          <cell r="F8">
            <v>0.08</v>
          </cell>
          <cell r="H8" t="str">
            <v>פגיעה באנשי מפתח</v>
          </cell>
          <cell r="I8" t="str">
            <v>נזק מועט לאנשי מפתח</v>
          </cell>
          <cell r="J8">
            <v>2</v>
          </cell>
          <cell r="K8">
            <v>0.08</v>
          </cell>
          <cell r="L8">
            <v>0.16</v>
          </cell>
          <cell r="N8" t="str">
            <v>פגיעה באנשי מפתח</v>
          </cell>
          <cell r="O8" t="str">
            <v>אין פגיעה באנשי מפתח</v>
          </cell>
          <cell r="P8">
            <v>1</v>
          </cell>
          <cell r="Q8">
            <v>0.08</v>
          </cell>
          <cell r="R8">
            <v>0.08</v>
          </cell>
        </row>
        <row r="9">
          <cell r="B9" t="str">
            <v>פגיעה במוניטין</v>
          </cell>
          <cell r="C9" t="str">
            <v>פגיעה בינונית במוניטין</v>
          </cell>
          <cell r="D9">
            <v>3</v>
          </cell>
          <cell r="E9">
            <v>0.12</v>
          </cell>
          <cell r="F9">
            <v>0.36</v>
          </cell>
          <cell r="H9" t="str">
            <v>פגיעה במוניטין</v>
          </cell>
          <cell r="I9" t="str">
            <v>פגיעה קלה במוניטין</v>
          </cell>
          <cell r="J9">
            <v>2</v>
          </cell>
          <cell r="K9">
            <v>0.12</v>
          </cell>
          <cell r="L9">
            <v>0.24</v>
          </cell>
          <cell r="N9" t="str">
            <v>פגיעה במוניטין</v>
          </cell>
          <cell r="O9" t="str">
            <v>פגיעה בינונית במוניטין</v>
          </cell>
          <cell r="P9">
            <v>3</v>
          </cell>
          <cell r="Q9">
            <v>0.12</v>
          </cell>
          <cell r="R9">
            <v>0.36</v>
          </cell>
        </row>
        <row r="11">
          <cell r="B11" t="str">
            <v>חשיפה כתוצאה מהתקפה על ספקי חוץ</v>
          </cell>
          <cell r="H11" t="str">
            <v>התקפה על תשתית הענן</v>
          </cell>
          <cell r="N11" t="str">
            <v xml:space="preserve">ניצול לרעה של הרשאות ע״י משתמש עם הרשאות גבוהות </v>
          </cell>
        </row>
        <row r="12">
          <cell r="B12" t="str">
            <v>מאפיין</v>
          </cell>
          <cell r="C12" t="str">
            <v>ערכים רלבנטיים</v>
          </cell>
          <cell r="D12" t="str">
            <v>ציון</v>
          </cell>
          <cell r="E12" t="str">
            <v>משקל</v>
          </cell>
          <cell r="F12"/>
          <cell r="H12" t="str">
            <v>מאפיין</v>
          </cell>
          <cell r="I12" t="str">
            <v>ערכים רלבנטיים</v>
          </cell>
          <cell r="J12" t="str">
            <v>ציון</v>
          </cell>
          <cell r="K12" t="str">
            <v>משקל</v>
          </cell>
          <cell r="L12"/>
          <cell r="N12" t="str">
            <v>מאפיין</v>
          </cell>
          <cell r="O12" t="str">
            <v>ערכים רלבנטיים</v>
          </cell>
          <cell r="P12" t="str">
            <v>ציון</v>
          </cell>
          <cell r="Q12" t="str">
            <v>משקל</v>
          </cell>
          <cell r="R12"/>
        </row>
        <row r="13">
          <cell r="B13" t="str">
            <v>נזק למידע</v>
          </cell>
          <cell r="C13" t="str">
            <v>אין נזק למידע</v>
          </cell>
          <cell r="D13">
            <v>1</v>
          </cell>
          <cell r="E13">
            <v>0.25</v>
          </cell>
          <cell r="F13">
            <v>0.25</v>
          </cell>
          <cell r="H13" t="str">
            <v>נזק למידע</v>
          </cell>
          <cell r="I13" t="str">
            <v>נזק גבוה למידע</v>
          </cell>
          <cell r="J13">
            <v>4</v>
          </cell>
          <cell r="K13">
            <v>0.25</v>
          </cell>
          <cell r="L13">
            <v>1</v>
          </cell>
          <cell r="N13" t="str">
            <v>נזק למידע</v>
          </cell>
          <cell r="O13" t="str">
            <v>אין נזק למידע</v>
          </cell>
          <cell r="P13">
            <v>1</v>
          </cell>
          <cell r="Q13">
            <v>0.25</v>
          </cell>
          <cell r="R13">
            <v>0.25</v>
          </cell>
        </row>
        <row r="14">
          <cell r="B14" t="str">
            <v>גניבת מידע</v>
          </cell>
          <cell r="C14" t="str">
            <v>לא בוצעה גניבה של מידע</v>
          </cell>
          <cell r="D14">
            <v>1</v>
          </cell>
          <cell r="E14">
            <v>0.19</v>
          </cell>
          <cell r="F14">
            <v>0.19</v>
          </cell>
          <cell r="H14" t="str">
            <v>גניבת מידע</v>
          </cell>
          <cell r="I14" t="str">
            <v>גניבה של מידע בסיווג גבוה</v>
          </cell>
          <cell r="J14">
            <v>4</v>
          </cell>
          <cell r="K14">
            <v>0.19</v>
          </cell>
          <cell r="L14">
            <v>0.76</v>
          </cell>
          <cell r="N14" t="str">
            <v>גניבת מידע</v>
          </cell>
          <cell r="O14" t="str">
            <v>לא בוצעה גניבה של מידע</v>
          </cell>
          <cell r="P14">
            <v>1</v>
          </cell>
          <cell r="Q14">
            <v>0.19</v>
          </cell>
          <cell r="R14">
            <v>0.19</v>
          </cell>
        </row>
        <row r="15">
          <cell r="B15" t="str">
            <v>גניבת כסף</v>
          </cell>
          <cell r="C15" t="str">
            <v>לא בוצעה גניבה של כסף</v>
          </cell>
          <cell r="D15">
            <v>1</v>
          </cell>
          <cell r="E15">
            <v>0.19</v>
          </cell>
          <cell r="F15">
            <v>0.19</v>
          </cell>
          <cell r="H15" t="str">
            <v>גניבת כסף</v>
          </cell>
          <cell r="I15" t="str">
            <v>לא בוצעה גניבה של כסף</v>
          </cell>
          <cell r="J15">
            <v>1</v>
          </cell>
          <cell r="K15">
            <v>0.19</v>
          </cell>
          <cell r="L15">
            <v>0.19</v>
          </cell>
          <cell r="N15" t="str">
            <v>גניבת כסף</v>
          </cell>
          <cell r="O15" t="str">
            <v>גניבה של סכומי כסף גבוהים</v>
          </cell>
          <cell r="P15">
            <v>4</v>
          </cell>
          <cell r="Q15">
            <v>0.19</v>
          </cell>
          <cell r="R15">
            <v>0.76</v>
          </cell>
        </row>
        <row r="16">
          <cell r="B16" t="str">
            <v>השבתה של הפעילות</v>
          </cell>
          <cell r="C16" t="str">
            <v>השבתה של חלק מהותי מהפעילות הארגונית</v>
          </cell>
          <cell r="D16">
            <v>4</v>
          </cell>
          <cell r="E16">
            <v>0.17</v>
          </cell>
          <cell r="F16">
            <v>0.68</v>
          </cell>
          <cell r="H16" t="str">
            <v>השבתה של הפעילות</v>
          </cell>
          <cell r="I16" t="str">
            <v>השבתה של חלק מהותי מהפעילות הארגונית</v>
          </cell>
          <cell r="J16">
            <v>4</v>
          </cell>
          <cell r="K16">
            <v>0.17</v>
          </cell>
          <cell r="L16">
            <v>0.68</v>
          </cell>
          <cell r="N16" t="str">
            <v>השבתה של הפעילות</v>
          </cell>
          <cell r="O16" t="str">
            <v>השבתה חלקית של הפעילות הארגונית</v>
          </cell>
          <cell r="P16">
            <v>3</v>
          </cell>
          <cell r="Q16">
            <v>0.17</v>
          </cell>
          <cell r="R16">
            <v>0.51</v>
          </cell>
        </row>
        <row r="17">
          <cell r="B17" t="str">
            <v>פגיעה באנשי מפתח</v>
          </cell>
          <cell r="C17" t="str">
            <v>נזק ברמה בינונית לאנשי מפתח</v>
          </cell>
          <cell r="D17">
            <v>3</v>
          </cell>
          <cell r="E17">
            <v>0.08</v>
          </cell>
          <cell r="F17">
            <v>0.24</v>
          </cell>
          <cell r="H17" t="str">
            <v>פגיעה באנשי מפתח</v>
          </cell>
          <cell r="I17" t="str">
            <v>נזק מהותי לאנשי מפתח</v>
          </cell>
          <cell r="J17">
            <v>5</v>
          </cell>
          <cell r="K17">
            <v>0.08</v>
          </cell>
          <cell r="L17">
            <v>0.4</v>
          </cell>
          <cell r="N17" t="str">
            <v>פגיעה באנשי מפתח</v>
          </cell>
          <cell r="O17" t="str">
            <v>נזק ברמה בינונית לאנשי מפתח</v>
          </cell>
          <cell r="P17">
            <v>3</v>
          </cell>
          <cell r="Q17">
            <v>0.08</v>
          </cell>
          <cell r="R17">
            <v>0.24</v>
          </cell>
        </row>
        <row r="18">
          <cell r="B18" t="str">
            <v>פגיעה במוניטין</v>
          </cell>
          <cell r="C18" t="str">
            <v>פגיעה בינונית במוניטין</v>
          </cell>
          <cell r="D18">
            <v>3</v>
          </cell>
          <cell r="E18">
            <v>0.12</v>
          </cell>
          <cell r="F18">
            <v>0.36</v>
          </cell>
          <cell r="H18" t="str">
            <v>פגיעה במוניטין</v>
          </cell>
          <cell r="I18" t="str">
            <v>פגיעה בינונית במוניטין</v>
          </cell>
          <cell r="J18">
            <v>3</v>
          </cell>
          <cell r="K18">
            <v>0.12</v>
          </cell>
          <cell r="L18">
            <v>0.36</v>
          </cell>
          <cell r="N18" t="str">
            <v>פגיעה במוניטין</v>
          </cell>
          <cell r="O18" t="str">
            <v>פגיעה בינונית במוניטין</v>
          </cell>
          <cell r="P18">
            <v>3</v>
          </cell>
          <cell r="Q18">
            <v>0.12</v>
          </cell>
          <cell r="R18">
            <v>0.36</v>
          </cell>
        </row>
        <row r="20">
          <cell r="B20" t="str">
            <v>העלאת רמת הרשאות</v>
          </cell>
          <cell r="H20" t="str">
            <v>דלף/גניבת מידע</v>
          </cell>
          <cell r="N20" t="str">
            <v>ניצול חולשה באפליקצית מקס</v>
          </cell>
        </row>
        <row r="21">
          <cell r="B21" t="str">
            <v>מאפיין</v>
          </cell>
          <cell r="C21" t="str">
            <v>ערכים רלבנטיים</v>
          </cell>
          <cell r="D21" t="str">
            <v>ציון</v>
          </cell>
          <cell r="E21" t="str">
            <v>משקל</v>
          </cell>
          <cell r="F21"/>
          <cell r="H21" t="str">
            <v>מאפיין</v>
          </cell>
          <cell r="I21" t="str">
            <v>ערכים רלבנטיים</v>
          </cell>
          <cell r="J21" t="str">
            <v>ציון</v>
          </cell>
          <cell r="K21" t="str">
            <v>משקל</v>
          </cell>
          <cell r="L21"/>
          <cell r="N21" t="str">
            <v>מאפיין</v>
          </cell>
          <cell r="O21" t="str">
            <v>ערכים רלבנטיים</v>
          </cell>
          <cell r="P21" t="str">
            <v>ציון</v>
          </cell>
          <cell r="Q21" t="str">
            <v>משקל</v>
          </cell>
          <cell r="R21"/>
        </row>
        <row r="22">
          <cell r="B22" t="str">
            <v>נזק למידע</v>
          </cell>
          <cell r="C22" t="str">
            <v>נזק ברמה בינונית למידע</v>
          </cell>
          <cell r="D22">
            <v>3</v>
          </cell>
          <cell r="E22">
            <v>0.25</v>
          </cell>
          <cell r="F22">
            <v>0.75</v>
          </cell>
          <cell r="H22" t="str">
            <v>נזק למידע</v>
          </cell>
          <cell r="I22" t="str">
            <v>אין נזק למידע</v>
          </cell>
          <cell r="J22">
            <v>1</v>
          </cell>
          <cell r="K22">
            <v>0.25</v>
          </cell>
          <cell r="L22">
            <v>0.25</v>
          </cell>
          <cell r="N22" t="str">
            <v>נזק למידע</v>
          </cell>
          <cell r="O22" t="str">
            <v>נזק מהותי למידע</v>
          </cell>
          <cell r="P22">
            <v>5</v>
          </cell>
          <cell r="Q22">
            <v>0.25</v>
          </cell>
          <cell r="R22">
            <v>1.25</v>
          </cell>
        </row>
        <row r="23">
          <cell r="B23" t="str">
            <v>גניבת מידע</v>
          </cell>
          <cell r="C23" t="str">
            <v>גניבה של מידע בסיווג גבוה</v>
          </cell>
          <cell r="D23">
            <v>4</v>
          </cell>
          <cell r="E23">
            <v>0.19</v>
          </cell>
          <cell r="F23">
            <v>0.76</v>
          </cell>
          <cell r="H23" t="str">
            <v>גניבת מידע</v>
          </cell>
          <cell r="I23" t="str">
            <v>גניבה של מידע מהותי/סודי</v>
          </cell>
          <cell r="J23">
            <v>5</v>
          </cell>
          <cell r="K23">
            <v>0.19</v>
          </cell>
          <cell r="L23">
            <v>0.95</v>
          </cell>
          <cell r="N23" t="str">
            <v>גניבת מידע</v>
          </cell>
          <cell r="O23" t="str">
            <v>גניבה של מידע בסיווג גבוה</v>
          </cell>
          <cell r="P23">
            <v>4</v>
          </cell>
          <cell r="Q23">
            <v>0.19</v>
          </cell>
          <cell r="R23">
            <v>0.76</v>
          </cell>
        </row>
        <row r="24">
          <cell r="B24" t="str">
            <v>גניבת כסף</v>
          </cell>
          <cell r="C24" t="str">
            <v>גניבה של סכומי כסף גבוהים</v>
          </cell>
          <cell r="D24">
            <v>4</v>
          </cell>
          <cell r="E24">
            <v>0.19</v>
          </cell>
          <cell r="F24">
            <v>0.76</v>
          </cell>
          <cell r="H24" t="str">
            <v>גניבת כסף</v>
          </cell>
          <cell r="I24" t="str">
            <v>גניבה של סכומי כסף מהותיים</v>
          </cell>
          <cell r="J24">
            <v>5</v>
          </cell>
          <cell r="K24">
            <v>0.19</v>
          </cell>
          <cell r="L24">
            <v>0.95</v>
          </cell>
          <cell r="N24" t="str">
            <v>גניבת כסף</v>
          </cell>
          <cell r="O24" t="str">
            <v>גניבה של סכומי כסף גבוהים</v>
          </cell>
          <cell r="P24">
            <v>4</v>
          </cell>
          <cell r="Q24">
            <v>0.19</v>
          </cell>
          <cell r="R24">
            <v>0.76</v>
          </cell>
        </row>
        <row r="25">
          <cell r="B25" t="str">
            <v>השבתה של הפעילות</v>
          </cell>
          <cell r="C25" t="str">
            <v>אין השבתה של פעילות בארגון</v>
          </cell>
          <cell r="D25">
            <v>1</v>
          </cell>
          <cell r="E25">
            <v>0.17</v>
          </cell>
          <cell r="F25">
            <v>0.17</v>
          </cell>
          <cell r="H25" t="str">
            <v>השבתה של הפעילות</v>
          </cell>
          <cell r="I25" t="str">
            <v>השבתה של חלק קטן מהפעילות הארגונית</v>
          </cell>
          <cell r="J25">
            <v>2</v>
          </cell>
          <cell r="K25">
            <v>0.17</v>
          </cell>
          <cell r="L25">
            <v>0.34</v>
          </cell>
          <cell r="N25" t="str">
            <v>השבתה של הפעילות</v>
          </cell>
          <cell r="O25" t="str">
            <v>השבתה חלקית של הפעילות הארגונית</v>
          </cell>
          <cell r="P25">
            <v>3</v>
          </cell>
          <cell r="Q25">
            <v>0.17</v>
          </cell>
          <cell r="R25">
            <v>0.51</v>
          </cell>
        </row>
        <row r="26">
          <cell r="B26" t="str">
            <v>פגיעה באנשי מפתח</v>
          </cell>
          <cell r="C26" t="str">
            <v>אין פגיעה באנשי מפתח</v>
          </cell>
          <cell r="D26">
            <v>1</v>
          </cell>
          <cell r="E26">
            <v>0.08</v>
          </cell>
          <cell r="F26">
            <v>0.08</v>
          </cell>
          <cell r="H26" t="str">
            <v>פגיעה באנשי מפתח</v>
          </cell>
          <cell r="I26" t="str">
            <v>אין פגיעה באנשי מפתח</v>
          </cell>
          <cell r="J26">
            <v>1</v>
          </cell>
          <cell r="K26">
            <v>0.08</v>
          </cell>
          <cell r="L26">
            <v>0.08</v>
          </cell>
          <cell r="N26" t="str">
            <v>פגיעה באנשי מפתח</v>
          </cell>
          <cell r="O26" t="str">
            <v>אין פגיעה באנשי מפתח</v>
          </cell>
          <cell r="P26">
            <v>1</v>
          </cell>
          <cell r="Q26">
            <v>0.08</v>
          </cell>
          <cell r="R26">
            <v>0.08</v>
          </cell>
        </row>
        <row r="27">
          <cell r="B27" t="str">
            <v>פגיעה במוניטין</v>
          </cell>
          <cell r="C27" t="str">
            <v>פגיעה בינונית במוניטין</v>
          </cell>
          <cell r="D27">
            <v>3</v>
          </cell>
          <cell r="E27">
            <v>0.12</v>
          </cell>
          <cell r="F27">
            <v>0.36</v>
          </cell>
          <cell r="H27" t="str">
            <v>פגיעה במוניטין</v>
          </cell>
          <cell r="I27" t="str">
            <v>פגיעה קשה מאד במוניטין</v>
          </cell>
          <cell r="J27">
            <v>5</v>
          </cell>
          <cell r="K27">
            <v>0.12</v>
          </cell>
          <cell r="L27">
            <v>0.6</v>
          </cell>
          <cell r="N27" t="str">
            <v>פגיעה במוניטין</v>
          </cell>
          <cell r="O27" t="str">
            <v>אין פגיעה במוניטין</v>
          </cell>
          <cell r="P27">
            <v>1</v>
          </cell>
          <cell r="Q27">
            <v>0.12</v>
          </cell>
          <cell r="R27">
            <v>0.12</v>
          </cell>
        </row>
        <row r="29">
          <cell r="B29" t="str">
            <v>הנדסה חברתית כולל AI</v>
          </cell>
          <cell r="H29" t="str">
            <v>תקיפות שרשרת האספקה</v>
          </cell>
          <cell r="N29" t="str">
            <v>גניבת זהות / התחזות לקוחות</v>
          </cell>
        </row>
        <row r="38">
          <cell r="H38" t="str">
            <v>חולשות כתוצאה מתהליך פיתוח לוקה בחסר (כולל פנימי, Open Source, AI )</v>
          </cell>
        </row>
      </sheetData>
      <sheetData sheetId="4">
        <row r="1">
          <cell r="A1" t="str">
            <v>גורם פנימי (מקס או ספקי חוץ) בעל הרשאות גבוהות</v>
          </cell>
          <cell r="G1" t="str">
            <v>גורם פנימי בעל הרשאות רגילות</v>
          </cell>
          <cell r="M1" t="str">
            <v>האקטיביסטים</v>
          </cell>
        </row>
        <row r="14">
          <cell r="A14" t="str">
            <v>האקר בודד ומיומן</v>
          </cell>
          <cell r="G14" t="str">
            <v>script kiddies</v>
          </cell>
          <cell r="M14" t="str">
            <v>ארגוני פשע</v>
          </cell>
        </row>
        <row r="27">
          <cell r="A27" t="str">
            <v>גופי טרור</v>
          </cell>
          <cell r="G27" t="str">
            <v>מתחרים</v>
          </cell>
          <cell r="M27" t="str">
            <v>ממשלות מדינות ושליחים</v>
          </cell>
        </row>
      </sheetData>
      <sheetData sheetId="5"/>
      <sheetData sheetId="6">
        <row r="3">
          <cell r="D3">
            <v>1</v>
          </cell>
          <cell r="G3" t="str">
            <v>נזק למידע</v>
          </cell>
          <cell r="H3">
            <v>0.25</v>
          </cell>
          <cell r="M3" t="str">
            <v>גורם פנימי (מקס או ספקי חוץ) בעל הרשאות גבוהות</v>
          </cell>
          <cell r="N3">
            <v>3.0999999999999996</v>
          </cell>
        </row>
        <row r="4">
          <cell r="D4">
            <v>2</v>
          </cell>
          <cell r="G4" t="str">
            <v>גניבת כסף</v>
          </cell>
          <cell r="H4">
            <v>0.19</v>
          </cell>
          <cell r="M4" t="str">
            <v>גופי טרור</v>
          </cell>
          <cell r="N4">
            <v>2.8125</v>
          </cell>
        </row>
        <row r="5">
          <cell r="D5">
            <v>3</v>
          </cell>
          <cell r="G5" t="str">
            <v>גניבת מידע</v>
          </cell>
          <cell r="H5">
            <v>0.19</v>
          </cell>
          <cell r="M5" t="str">
            <v>האקר בודד ומיומן</v>
          </cell>
          <cell r="N5">
            <v>2.5999999999999996</v>
          </cell>
        </row>
        <row r="6">
          <cell r="D6">
            <v>4</v>
          </cell>
          <cell r="G6" t="str">
            <v>השבתה של הפעילות</v>
          </cell>
          <cell r="H6">
            <v>0.17</v>
          </cell>
          <cell r="M6" t="str">
            <v>ארגוני פשע</v>
          </cell>
          <cell r="N6">
            <v>2.5500000000000003</v>
          </cell>
        </row>
        <row r="7">
          <cell r="D7">
            <v>5</v>
          </cell>
          <cell r="G7" t="str">
            <v>פגיעה במוניטין</v>
          </cell>
          <cell r="H7">
            <v>0.12</v>
          </cell>
          <cell r="M7" t="str">
            <v>האקטיביסטים</v>
          </cell>
          <cell r="N7">
            <v>2.4000000000000004</v>
          </cell>
        </row>
        <row r="8">
          <cell r="G8" t="str">
            <v>פגיעה באנשי מפתח</v>
          </cell>
          <cell r="H8">
            <v>0.08</v>
          </cell>
          <cell r="M8" t="str">
            <v>script kiddies</v>
          </cell>
          <cell r="N8">
            <v>2.3000000000000003</v>
          </cell>
        </row>
        <row r="9">
          <cell r="M9" t="str">
            <v>גורם פנימי בעל הרשאות רגילות</v>
          </cell>
          <cell r="N9">
            <v>2.15</v>
          </cell>
        </row>
        <row r="10">
          <cell r="M10" t="str">
            <v>ממשלות מדינות ושליחים</v>
          </cell>
          <cell r="N10">
            <v>1.1499999999999999</v>
          </cell>
        </row>
        <row r="11">
          <cell r="M11" t="str">
            <v>מתחרים</v>
          </cell>
          <cell r="N11">
            <v>0.65000000000000013</v>
          </cell>
        </row>
        <row r="16">
          <cell r="A16" t="str">
            <v>נזק למידע</v>
          </cell>
          <cell r="B16">
            <v>2</v>
          </cell>
        </row>
        <row r="17">
          <cell r="A17" t="str">
            <v>גניבת מידע</v>
          </cell>
          <cell r="B17">
            <v>3</v>
          </cell>
        </row>
        <row r="18">
          <cell r="A18" t="str">
            <v>גניבת כסף</v>
          </cell>
          <cell r="B18">
            <v>4</v>
          </cell>
        </row>
        <row r="19">
          <cell r="A19" t="str">
            <v>השבתה של הפעילות</v>
          </cell>
          <cell r="B19">
            <v>5</v>
          </cell>
        </row>
        <row r="20">
          <cell r="A20" t="str">
            <v>פגיעה באנשי מפתח</v>
          </cell>
          <cell r="B20">
            <v>6</v>
          </cell>
        </row>
        <row r="21">
          <cell r="A21" t="str">
            <v>פגיעה במוניטין</v>
          </cell>
          <cell r="B21">
            <v>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88A3-6181-4D87-9728-4D5D9E35F8B7}">
  <dimension ref="A1:P32"/>
  <sheetViews>
    <sheetView rightToLeft="1" tabSelected="1" zoomScaleNormal="100" workbookViewId="0">
      <selection activeCell="K13" sqref="K13"/>
    </sheetView>
  </sheetViews>
  <sheetFormatPr defaultColWidth="0" defaultRowHeight="15" zeroHeight="1" x14ac:dyDescent="0.25"/>
  <cols>
    <col min="1" max="1" width="3" style="4" customWidth="1"/>
    <col min="2" max="13" width="9.140625" customWidth="1"/>
    <col min="14" max="14" width="7.85546875" style="4" customWidth="1"/>
    <col min="15" max="16" width="0" style="4" hidden="1" customWidth="1"/>
    <col min="17" max="16384" width="9.140625" hidden="1"/>
  </cols>
  <sheetData>
    <row r="1" spans="1:16" s="4" customFormat="1" ht="44.25" customHeight="1" x14ac:dyDescent="0.25">
      <c r="B1" s="85" t="s">
        <v>0</v>
      </c>
      <c r="C1" s="85"/>
      <c r="D1" s="85"/>
      <c r="E1" s="85"/>
      <c r="F1" s="85"/>
      <c r="G1" s="85"/>
      <c r="H1" s="85"/>
      <c r="I1" s="85"/>
      <c r="J1" s="85"/>
      <c r="K1" s="85"/>
      <c r="L1" s="85"/>
      <c r="M1" s="5"/>
    </row>
    <row r="2" spans="1:16" x14ac:dyDescent="0.25">
      <c r="B2" s="1"/>
      <c r="C2" s="1"/>
      <c r="D2" s="1"/>
      <c r="E2" s="1"/>
      <c r="F2" s="1"/>
      <c r="G2" s="1"/>
      <c r="H2" s="1"/>
      <c r="I2" s="1"/>
      <c r="J2" s="1"/>
      <c r="K2" s="1"/>
      <c r="L2" s="1"/>
      <c r="M2" s="1"/>
    </row>
    <row r="3" spans="1:16" x14ac:dyDescent="0.25">
      <c r="B3" s="1"/>
      <c r="C3" s="1"/>
      <c r="D3" s="1"/>
      <c r="E3" s="1"/>
      <c r="F3" s="1"/>
      <c r="G3" s="1"/>
      <c r="H3" s="1"/>
      <c r="I3" s="1"/>
      <c r="J3" s="1"/>
      <c r="K3" s="1"/>
      <c r="L3" s="1"/>
      <c r="M3" s="1"/>
    </row>
    <row r="4" spans="1:16" x14ac:dyDescent="0.25">
      <c r="B4" s="1"/>
      <c r="C4" s="1"/>
      <c r="D4" s="1"/>
      <c r="E4" s="1"/>
      <c r="F4" s="1"/>
      <c r="G4" s="1"/>
      <c r="H4" s="1"/>
      <c r="I4" s="1"/>
      <c r="J4" s="1"/>
      <c r="K4" s="1"/>
      <c r="L4" s="1"/>
      <c r="M4" s="1"/>
    </row>
    <row r="5" spans="1:16" x14ac:dyDescent="0.25">
      <c r="B5" s="1"/>
      <c r="C5" s="1"/>
      <c r="D5" s="1"/>
      <c r="E5" s="1"/>
      <c r="F5" s="1"/>
      <c r="G5" s="1"/>
      <c r="H5" s="1"/>
      <c r="I5" s="1"/>
      <c r="J5" s="1"/>
      <c r="K5" s="1"/>
      <c r="L5" s="1"/>
      <c r="M5" s="1"/>
    </row>
    <row r="6" spans="1:16" x14ac:dyDescent="0.25">
      <c r="B6" s="1"/>
      <c r="C6" s="1"/>
      <c r="D6" s="1"/>
      <c r="E6" s="1"/>
      <c r="F6" s="1"/>
      <c r="G6" s="1"/>
      <c r="H6" s="1"/>
      <c r="I6" s="1"/>
      <c r="J6" s="1"/>
      <c r="K6" s="1"/>
      <c r="L6" s="1"/>
      <c r="M6" s="1"/>
    </row>
    <row r="7" spans="1:16" x14ac:dyDescent="0.25">
      <c r="B7" s="1"/>
      <c r="C7" s="1"/>
      <c r="D7" s="1"/>
      <c r="E7" s="1"/>
      <c r="F7" s="1"/>
      <c r="G7" s="1"/>
      <c r="H7" s="1"/>
      <c r="I7" s="1"/>
      <c r="J7" s="1"/>
      <c r="K7" s="1"/>
      <c r="L7" s="1"/>
      <c r="M7" s="1"/>
    </row>
    <row r="8" spans="1:16" x14ac:dyDescent="0.25">
      <c r="B8" s="1"/>
      <c r="C8" s="1"/>
      <c r="D8" s="1"/>
      <c r="E8" s="1"/>
      <c r="F8" s="1"/>
      <c r="G8" s="1"/>
      <c r="H8" s="1"/>
      <c r="I8" s="1"/>
      <c r="J8" s="1"/>
      <c r="K8" s="1"/>
      <c r="L8" s="1"/>
      <c r="M8" s="1"/>
    </row>
    <row r="9" spans="1:16" s="2" customFormat="1" ht="71.25" customHeight="1" x14ac:dyDescent="0.25">
      <c r="A9" s="6"/>
      <c r="B9" s="86" t="s">
        <v>128</v>
      </c>
      <c r="C9" s="86"/>
      <c r="D9" s="86"/>
      <c r="E9" s="86"/>
      <c r="F9" s="86"/>
      <c r="G9" s="86"/>
      <c r="H9" s="86"/>
      <c r="I9" s="86"/>
      <c r="J9" s="86"/>
      <c r="K9" s="86"/>
      <c r="L9" s="86"/>
      <c r="M9" s="3"/>
      <c r="N9" s="6"/>
      <c r="O9" s="6"/>
      <c r="P9" s="6"/>
    </row>
    <row r="10" spans="1:16" x14ac:dyDescent="0.25">
      <c r="B10" s="4"/>
      <c r="C10" s="4"/>
      <c r="D10" s="4"/>
      <c r="E10" s="4"/>
      <c r="F10" s="4"/>
      <c r="G10" s="4"/>
      <c r="H10" s="4"/>
      <c r="I10" s="4"/>
      <c r="J10" s="4"/>
      <c r="K10" s="4"/>
      <c r="L10" s="4"/>
      <c r="M10" s="4"/>
    </row>
    <row r="11" spans="1:16" ht="21" customHeight="1" thickBot="1" x14ac:dyDescent="0.3">
      <c r="B11" s="4"/>
      <c r="C11" s="4"/>
      <c r="D11" s="4"/>
      <c r="E11" s="4"/>
      <c r="F11" s="4"/>
      <c r="G11" s="4"/>
      <c r="H11" s="4"/>
      <c r="I11" s="4"/>
      <c r="J11" s="4"/>
      <c r="K11" s="4"/>
      <c r="L11" s="4"/>
      <c r="M11" s="4"/>
    </row>
    <row r="12" spans="1:16" ht="23.25" customHeight="1" thickBot="1" x14ac:dyDescent="0.4">
      <c r="B12" s="90" t="s">
        <v>1</v>
      </c>
      <c r="C12" s="91"/>
      <c r="D12" s="87"/>
      <c r="E12" s="88"/>
      <c r="F12" s="88"/>
      <c r="G12" s="88"/>
      <c r="H12" s="89"/>
      <c r="I12" s="4"/>
      <c r="J12" s="4"/>
      <c r="K12" s="4"/>
      <c r="L12" s="4"/>
      <c r="M12" s="4"/>
    </row>
    <row r="13" spans="1:16" ht="21.75" thickBot="1" x14ac:dyDescent="0.4">
      <c r="B13" s="9"/>
      <c r="C13" s="9"/>
      <c r="D13" s="7"/>
      <c r="E13" s="7"/>
      <c r="F13" s="7"/>
      <c r="G13" s="7"/>
      <c r="H13" s="7"/>
      <c r="I13" s="4"/>
      <c r="J13" s="4"/>
      <c r="K13" s="4"/>
      <c r="L13" s="4"/>
      <c r="M13" s="4"/>
    </row>
    <row r="14" spans="1:16" ht="23.25" customHeight="1" thickBot="1" x14ac:dyDescent="0.4">
      <c r="B14" s="90" t="s">
        <v>2</v>
      </c>
      <c r="C14" s="91"/>
      <c r="D14" s="87"/>
      <c r="E14" s="88"/>
      <c r="F14" s="88"/>
      <c r="G14" s="88"/>
      <c r="H14" s="89"/>
      <c r="I14" s="4"/>
      <c r="J14" s="4"/>
      <c r="K14" s="4"/>
      <c r="L14" s="4"/>
      <c r="M14" s="4"/>
    </row>
    <row r="15" spans="1:16" x14ac:dyDescent="0.25">
      <c r="B15" s="9"/>
      <c r="C15" s="9"/>
      <c r="D15" s="4"/>
      <c r="E15" s="4"/>
      <c r="F15" s="4"/>
      <c r="G15" s="4"/>
      <c r="H15" s="4"/>
      <c r="I15" s="4"/>
      <c r="J15" s="4"/>
      <c r="K15" s="4"/>
      <c r="L15" s="4"/>
      <c r="M15" s="4"/>
    </row>
    <row r="16" spans="1:16" ht="15.75" thickBot="1" x14ac:dyDescent="0.3">
      <c r="B16" s="9"/>
      <c r="C16" s="9"/>
      <c r="D16" s="4"/>
      <c r="E16" s="4"/>
      <c r="F16" s="4"/>
      <c r="G16" s="4"/>
      <c r="H16" s="4"/>
      <c r="I16" s="4"/>
      <c r="J16" s="4"/>
      <c r="K16" s="4"/>
      <c r="L16" s="4"/>
      <c r="M16" s="4"/>
    </row>
    <row r="17" spans="2:13" ht="21.75" thickBot="1" x14ac:dyDescent="0.4">
      <c r="B17" s="9" t="s">
        <v>3</v>
      </c>
      <c r="C17" s="9"/>
      <c r="D17" s="82" t="s">
        <v>4</v>
      </c>
      <c r="E17" s="83"/>
      <c r="F17" s="83"/>
      <c r="G17" s="83"/>
      <c r="H17" s="84"/>
      <c r="I17" s="82" t="s">
        <v>89</v>
      </c>
      <c r="J17" s="83"/>
      <c r="K17" s="83"/>
      <c r="L17" s="83"/>
      <c r="M17" s="84"/>
    </row>
    <row r="18" spans="2:13" ht="21.75" thickBot="1" x14ac:dyDescent="0.4">
      <c r="B18" s="4"/>
      <c r="C18" s="4"/>
      <c r="D18" s="87"/>
      <c r="E18" s="88"/>
      <c r="F18" s="88"/>
      <c r="G18" s="88"/>
      <c r="H18" s="89"/>
      <c r="I18" s="79" t="s">
        <v>92</v>
      </c>
      <c r="J18" s="80"/>
      <c r="K18" s="80"/>
      <c r="L18" s="80"/>
      <c r="M18" s="81"/>
    </row>
    <row r="19" spans="2:13" ht="21.75" thickBot="1" x14ac:dyDescent="0.4">
      <c r="B19" s="4"/>
      <c r="C19" s="4"/>
      <c r="D19" s="87"/>
      <c r="E19" s="88"/>
      <c r="F19" s="88"/>
      <c r="G19" s="88"/>
      <c r="H19" s="89"/>
      <c r="I19" s="79" t="s">
        <v>90</v>
      </c>
      <c r="J19" s="80"/>
      <c r="K19" s="80"/>
      <c r="L19" s="80"/>
      <c r="M19" s="81"/>
    </row>
    <row r="20" spans="2:13" ht="21.75" thickBot="1" x14ac:dyDescent="0.4">
      <c r="B20" s="4"/>
      <c r="C20" s="4"/>
      <c r="D20" s="87"/>
      <c r="E20" s="88"/>
      <c r="F20" s="88"/>
      <c r="G20" s="88"/>
      <c r="H20" s="89"/>
      <c r="I20" s="79" t="s">
        <v>91</v>
      </c>
      <c r="J20" s="80"/>
      <c r="K20" s="80"/>
      <c r="L20" s="80"/>
      <c r="M20" s="81"/>
    </row>
    <row r="21" spans="2:13" ht="21.75" thickBot="1" x14ac:dyDescent="0.4">
      <c r="B21" s="4"/>
      <c r="C21" s="4"/>
      <c r="D21" s="87"/>
      <c r="E21" s="88"/>
      <c r="F21" s="88"/>
      <c r="G21" s="88"/>
      <c r="H21" s="89"/>
      <c r="I21" s="79" t="s">
        <v>93</v>
      </c>
      <c r="J21" s="80"/>
      <c r="K21" s="80"/>
      <c r="L21" s="80"/>
      <c r="M21" s="81"/>
    </row>
    <row r="22" spans="2:13" ht="21.75" thickBot="1" x14ac:dyDescent="0.4">
      <c r="B22" s="4"/>
      <c r="C22" s="4"/>
      <c r="D22" s="87"/>
      <c r="E22" s="88"/>
      <c r="F22" s="88"/>
      <c r="G22" s="88"/>
      <c r="H22" s="89"/>
      <c r="I22" s="79" t="s">
        <v>93</v>
      </c>
      <c r="J22" s="80"/>
      <c r="K22" s="80"/>
      <c r="L22" s="80"/>
      <c r="M22" s="81"/>
    </row>
    <row r="23" spans="2:13" x14ac:dyDescent="0.25">
      <c r="B23" s="4"/>
      <c r="C23" s="4"/>
      <c r="D23" s="4"/>
      <c r="E23" s="4"/>
      <c r="F23" s="4"/>
      <c r="G23" s="4"/>
      <c r="H23" s="4"/>
      <c r="I23" s="4"/>
      <c r="J23" s="4"/>
      <c r="K23" s="4"/>
      <c r="L23" s="4"/>
      <c r="M23" s="4"/>
    </row>
    <row r="24" spans="2:13" x14ac:dyDescent="0.25">
      <c r="B24" s="4"/>
      <c r="C24" s="4"/>
      <c r="D24" s="4"/>
      <c r="E24" s="4"/>
      <c r="F24" s="4"/>
      <c r="G24" s="4"/>
      <c r="H24" s="4"/>
      <c r="I24" s="4"/>
      <c r="J24" s="4"/>
      <c r="K24" s="4"/>
      <c r="L24" s="4"/>
      <c r="M24" s="4"/>
    </row>
    <row r="25" spans="2:13" x14ac:dyDescent="0.25">
      <c r="B25" s="4"/>
      <c r="C25" s="4"/>
      <c r="D25" s="4"/>
      <c r="E25" s="4"/>
      <c r="F25" s="4"/>
      <c r="G25" s="4"/>
      <c r="H25" s="4"/>
      <c r="I25" s="4"/>
      <c r="J25" s="4"/>
      <c r="K25" s="4"/>
      <c r="L25" s="4"/>
      <c r="M25" s="4"/>
    </row>
    <row r="26" spans="2:13" x14ac:dyDescent="0.25">
      <c r="B26" s="4"/>
      <c r="C26" s="4"/>
      <c r="D26" s="4"/>
      <c r="E26" s="4"/>
      <c r="F26" s="4"/>
      <c r="G26" s="4"/>
      <c r="H26" s="4"/>
      <c r="I26" s="4"/>
      <c r="J26" s="4"/>
      <c r="K26" s="4"/>
      <c r="L26" s="4"/>
      <c r="M26" s="4"/>
    </row>
    <row r="27" spans="2:13" x14ac:dyDescent="0.25">
      <c r="B27" s="4"/>
      <c r="C27" s="4"/>
      <c r="D27" s="4"/>
      <c r="E27" s="4"/>
      <c r="F27" s="4"/>
      <c r="G27" s="4"/>
      <c r="H27" s="4"/>
      <c r="I27" s="4"/>
      <c r="J27" s="4"/>
      <c r="K27" s="4"/>
      <c r="L27" s="4"/>
      <c r="M27" s="4"/>
    </row>
    <row r="28" spans="2:13" x14ac:dyDescent="0.25">
      <c r="B28" s="4"/>
      <c r="C28" s="4"/>
      <c r="D28" s="4"/>
      <c r="E28" s="4"/>
      <c r="F28" s="4"/>
      <c r="G28" s="4"/>
      <c r="H28" s="4"/>
      <c r="I28" s="4"/>
      <c r="J28" s="4"/>
      <c r="K28" s="4"/>
      <c r="L28" s="4"/>
      <c r="M28" s="4"/>
    </row>
    <row r="29" spans="2:13" x14ac:dyDescent="0.25">
      <c r="B29" s="4"/>
      <c r="C29" s="4"/>
      <c r="D29" s="4"/>
      <c r="E29" s="4"/>
      <c r="F29" s="4"/>
      <c r="G29" s="4"/>
      <c r="H29" s="4"/>
      <c r="I29" s="4"/>
      <c r="J29" s="4"/>
      <c r="K29" s="4"/>
      <c r="L29" s="4"/>
      <c r="M29" s="4"/>
    </row>
    <row r="30" spans="2:13" x14ac:dyDescent="0.25">
      <c r="B30" s="4"/>
      <c r="C30" s="4"/>
      <c r="D30" s="4"/>
      <c r="E30" s="4"/>
      <c r="F30" s="4"/>
      <c r="G30" s="4"/>
      <c r="H30" s="4"/>
      <c r="I30" s="4"/>
      <c r="J30" s="4"/>
      <c r="K30" s="4"/>
      <c r="L30" s="4"/>
      <c r="M30" s="4"/>
    </row>
    <row r="31" spans="2:13" x14ac:dyDescent="0.25">
      <c r="B31" s="4"/>
      <c r="C31" s="4"/>
      <c r="D31" s="4"/>
      <c r="E31" s="4"/>
      <c r="F31" s="4"/>
      <c r="G31" s="4"/>
      <c r="H31" s="4"/>
      <c r="I31" s="4"/>
      <c r="J31" s="4"/>
      <c r="K31" s="4"/>
      <c r="L31" s="4"/>
      <c r="M31" s="4"/>
    </row>
    <row r="32" spans="2:13" x14ac:dyDescent="0.25">
      <c r="B32" s="4"/>
      <c r="C32" s="4"/>
      <c r="D32" s="4"/>
      <c r="E32" s="4"/>
      <c r="F32" s="4"/>
      <c r="G32" s="4"/>
      <c r="H32" s="4"/>
      <c r="I32" s="4"/>
      <c r="J32" s="4"/>
      <c r="K32" s="4"/>
      <c r="L32" s="4"/>
      <c r="M32" s="4"/>
    </row>
  </sheetData>
  <mergeCells count="18">
    <mergeCell ref="D21:H21"/>
    <mergeCell ref="D22:H22"/>
    <mergeCell ref="B14:C14"/>
    <mergeCell ref="D14:H14"/>
    <mergeCell ref="D17:H17"/>
    <mergeCell ref="D18:H18"/>
    <mergeCell ref="D19:H19"/>
    <mergeCell ref="B1:L1"/>
    <mergeCell ref="B9:L9"/>
    <mergeCell ref="D12:H12"/>
    <mergeCell ref="B12:C12"/>
    <mergeCell ref="D20:H20"/>
    <mergeCell ref="I22:M22"/>
    <mergeCell ref="I17:M17"/>
    <mergeCell ref="I18:M18"/>
    <mergeCell ref="I19:M19"/>
    <mergeCell ref="I20:M20"/>
    <mergeCell ref="I21:M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5869C-CC5B-4E6A-8801-685649BE897B}">
  <dimension ref="A1:O31"/>
  <sheetViews>
    <sheetView rightToLeft="1" workbookViewId="0">
      <selection activeCell="B15" sqref="B15:F15"/>
    </sheetView>
  </sheetViews>
  <sheetFormatPr defaultColWidth="0" defaultRowHeight="15" customHeight="1" zeroHeight="1" x14ac:dyDescent="0.25"/>
  <cols>
    <col min="1" max="1" width="3" style="4" customWidth="1"/>
    <col min="2" max="11" width="9.140625" customWidth="1"/>
    <col min="12" max="12" width="14" customWidth="1"/>
    <col min="13" max="13" width="2.140625" style="4" customWidth="1"/>
    <col min="14" max="15" width="0" style="4" hidden="1" customWidth="1"/>
    <col min="16" max="16384" width="9.140625" hidden="1"/>
  </cols>
  <sheetData>
    <row r="1" spans="1:15" s="4" customFormat="1" ht="44.25" customHeight="1" x14ac:dyDescent="0.25">
      <c r="B1" s="85" t="s">
        <v>5</v>
      </c>
      <c r="C1" s="85"/>
      <c r="D1" s="85"/>
      <c r="E1" s="85"/>
      <c r="F1" s="85"/>
      <c r="G1" s="85"/>
      <c r="H1" s="85"/>
      <c r="I1" s="85"/>
      <c r="J1" s="85"/>
      <c r="K1" s="85"/>
      <c r="L1" s="85"/>
    </row>
    <row r="2" spans="1:15" x14ac:dyDescent="0.25">
      <c r="B2" s="1"/>
      <c r="C2" s="1"/>
      <c r="D2" s="1"/>
      <c r="E2" s="1"/>
      <c r="F2" s="1"/>
      <c r="G2" s="1"/>
      <c r="H2" s="1"/>
      <c r="I2" s="1"/>
      <c r="J2" s="1"/>
      <c r="K2" s="1"/>
      <c r="L2" s="1"/>
    </row>
    <row r="3" spans="1:15" x14ac:dyDescent="0.25">
      <c r="B3" s="1"/>
      <c r="C3" s="1"/>
      <c r="D3" s="1"/>
      <c r="E3" s="1"/>
      <c r="F3" s="1"/>
      <c r="G3" s="1"/>
      <c r="H3" s="1"/>
      <c r="I3" s="1"/>
      <c r="J3" s="1"/>
      <c r="K3" s="1"/>
      <c r="L3" s="1"/>
    </row>
    <row r="4" spans="1:15" x14ac:dyDescent="0.25">
      <c r="B4" s="1"/>
      <c r="C4" s="1"/>
      <c r="D4" s="1"/>
      <c r="E4" s="1"/>
      <c r="F4" s="1"/>
      <c r="G4" s="1"/>
      <c r="H4" s="1"/>
      <c r="I4" s="1"/>
      <c r="J4" s="1"/>
      <c r="K4" s="1"/>
      <c r="L4" s="1"/>
    </row>
    <row r="5" spans="1:15" x14ac:dyDescent="0.25">
      <c r="B5" s="1"/>
      <c r="C5" s="1"/>
      <c r="D5" s="1"/>
      <c r="E5" s="1"/>
      <c r="F5" s="1"/>
      <c r="G5" s="1"/>
      <c r="H5" s="1"/>
      <c r="I5" s="1"/>
      <c r="J5" s="1"/>
      <c r="K5" s="1"/>
      <c r="L5" s="1"/>
    </row>
    <row r="6" spans="1:15" x14ac:dyDescent="0.25">
      <c r="B6" s="1"/>
      <c r="C6" s="1"/>
      <c r="D6" s="1"/>
      <c r="E6" s="1"/>
      <c r="F6" s="1"/>
      <c r="G6" s="1"/>
      <c r="H6" s="1"/>
      <c r="I6" s="1"/>
      <c r="J6" s="1"/>
      <c r="K6" s="1"/>
      <c r="L6" s="1"/>
    </row>
    <row r="7" spans="1:15" x14ac:dyDescent="0.25">
      <c r="B7" s="1"/>
      <c r="C7" s="1"/>
      <c r="D7" s="1"/>
      <c r="E7" s="1"/>
      <c r="F7" s="1"/>
      <c r="G7" s="1"/>
      <c r="H7" s="1"/>
      <c r="I7" s="1"/>
      <c r="J7" s="1"/>
      <c r="K7" s="1"/>
      <c r="L7" s="1"/>
    </row>
    <row r="8" spans="1:15" x14ac:dyDescent="0.25">
      <c r="B8" s="1"/>
      <c r="C8" s="1"/>
      <c r="D8" s="1"/>
      <c r="E8" s="1"/>
      <c r="F8" s="1"/>
      <c r="G8" s="1"/>
      <c r="H8" s="1"/>
      <c r="I8" s="1"/>
      <c r="J8" s="1"/>
      <c r="K8" s="1"/>
      <c r="L8" s="1"/>
    </row>
    <row r="9" spans="1:15" s="2" customFormat="1" ht="71.25" customHeight="1" x14ac:dyDescent="0.25">
      <c r="A9" s="6"/>
      <c r="B9" s="86" t="s">
        <v>127</v>
      </c>
      <c r="C9" s="86"/>
      <c r="D9" s="86"/>
      <c r="E9" s="86"/>
      <c r="F9" s="86"/>
      <c r="G9" s="86"/>
      <c r="H9" s="86"/>
      <c r="I9" s="86"/>
      <c r="J9" s="86"/>
      <c r="K9" s="86"/>
      <c r="L9" s="86"/>
      <c r="M9" s="6"/>
      <c r="N9" s="6"/>
      <c r="O9" s="6"/>
    </row>
    <row r="10" spans="1:15" x14ac:dyDescent="0.25">
      <c r="B10" s="4"/>
      <c r="C10" s="4"/>
      <c r="D10" s="4"/>
      <c r="E10" s="4"/>
      <c r="F10" s="4"/>
      <c r="G10" s="4"/>
      <c r="H10" s="4"/>
      <c r="I10" s="4"/>
      <c r="J10" s="4"/>
      <c r="K10" s="4"/>
      <c r="L10" s="4"/>
    </row>
    <row r="11" spans="1:15" ht="35.25" customHeight="1" x14ac:dyDescent="0.25">
      <c r="B11" s="92" t="s">
        <v>6</v>
      </c>
      <c r="C11" s="92"/>
      <c r="D11" s="92"/>
      <c r="E11" s="92"/>
      <c r="F11" s="92"/>
      <c r="G11" s="92" t="s">
        <v>7</v>
      </c>
      <c r="H11" s="92"/>
      <c r="I11" s="92"/>
      <c r="J11" s="92" t="s">
        <v>8</v>
      </c>
      <c r="K11" s="92"/>
      <c r="L11" s="92"/>
    </row>
    <row r="12" spans="1:15" s="4" customFormat="1" ht="15.75" x14ac:dyDescent="0.25">
      <c r="B12" s="93" t="s">
        <v>119</v>
      </c>
      <c r="C12" s="93"/>
      <c r="D12" s="93"/>
      <c r="E12" s="93"/>
      <c r="F12" s="93"/>
      <c r="G12" s="94"/>
      <c r="H12" s="94"/>
      <c r="I12" s="94"/>
      <c r="J12" s="94"/>
      <c r="K12" s="94"/>
      <c r="L12" s="94"/>
    </row>
    <row r="13" spans="1:15" s="4" customFormat="1" ht="15" customHeight="1" x14ac:dyDescent="0.25">
      <c r="B13" s="93" t="s">
        <v>120</v>
      </c>
      <c r="C13" s="93"/>
      <c r="D13" s="93"/>
      <c r="E13" s="93"/>
      <c r="F13" s="93"/>
      <c r="G13" s="94"/>
      <c r="H13" s="94"/>
      <c r="I13" s="94"/>
      <c r="J13" s="94"/>
      <c r="K13" s="94"/>
      <c r="L13" s="94"/>
    </row>
    <row r="14" spans="1:15" s="4" customFormat="1" ht="15.75" x14ac:dyDescent="0.25">
      <c r="B14" s="93" t="s">
        <v>121</v>
      </c>
      <c r="C14" s="93"/>
      <c r="D14" s="93"/>
      <c r="E14" s="93"/>
      <c r="F14" s="93"/>
      <c r="G14" s="94"/>
      <c r="H14" s="94"/>
      <c r="I14" s="94"/>
      <c r="J14" s="94"/>
      <c r="K14" s="94"/>
      <c r="L14" s="94"/>
    </row>
    <row r="15" spans="1:15" s="4" customFormat="1" ht="15.75" x14ac:dyDescent="0.25">
      <c r="B15" s="93" t="s">
        <v>122</v>
      </c>
      <c r="C15" s="93"/>
      <c r="D15" s="93"/>
      <c r="E15" s="93"/>
      <c r="F15" s="93"/>
      <c r="G15" s="94"/>
      <c r="H15" s="94"/>
      <c r="I15" s="94"/>
      <c r="J15" s="94"/>
      <c r="K15" s="94"/>
      <c r="L15" s="94"/>
    </row>
    <row r="16" spans="1:15" s="4" customFormat="1" ht="15.75" x14ac:dyDescent="0.25">
      <c r="B16" s="93" t="s">
        <v>123</v>
      </c>
      <c r="C16" s="93"/>
      <c r="D16" s="93"/>
      <c r="E16" s="93"/>
      <c r="F16" s="93"/>
      <c r="G16" s="94"/>
      <c r="H16" s="94"/>
      <c r="I16" s="94"/>
      <c r="J16" s="94"/>
      <c r="K16" s="94"/>
      <c r="L16" s="94"/>
    </row>
    <row r="17" spans="1:13" s="4" customFormat="1" ht="15.75" x14ac:dyDescent="0.25">
      <c r="B17" s="93" t="s">
        <v>124</v>
      </c>
      <c r="C17" s="93"/>
      <c r="D17" s="93"/>
      <c r="E17" s="93"/>
      <c r="F17" s="93"/>
      <c r="G17" s="94"/>
      <c r="H17" s="94"/>
      <c r="I17" s="94"/>
      <c r="J17" s="94"/>
      <c r="K17" s="94"/>
      <c r="L17" s="94"/>
    </row>
    <row r="18" spans="1:13" s="4" customFormat="1" ht="15.75" x14ac:dyDescent="0.25">
      <c r="B18" s="93" t="s">
        <v>125</v>
      </c>
      <c r="C18" s="93"/>
      <c r="D18" s="93"/>
      <c r="E18" s="93"/>
      <c r="F18" s="93"/>
      <c r="G18" s="94"/>
      <c r="H18" s="94"/>
      <c r="I18" s="94"/>
      <c r="J18" s="94"/>
      <c r="K18" s="94"/>
      <c r="L18" s="94"/>
    </row>
    <row r="19" spans="1:13" s="4" customFormat="1" ht="15.75" x14ac:dyDescent="0.25">
      <c r="B19" s="93" t="s">
        <v>126</v>
      </c>
      <c r="C19" s="93"/>
      <c r="D19" s="93"/>
      <c r="E19" s="93"/>
      <c r="F19" s="93"/>
      <c r="G19" s="94"/>
      <c r="H19" s="94"/>
      <c r="I19" s="94"/>
      <c r="J19" s="94"/>
      <c r="K19" s="94"/>
      <c r="L19" s="94"/>
    </row>
    <row r="20" spans="1:13" s="4" customFormat="1" x14ac:dyDescent="0.25"/>
    <row r="21" spans="1:13" s="4" customFormat="1" x14ac:dyDescent="0.25">
      <c r="A21" s="10"/>
      <c r="B21" s="10"/>
      <c r="C21" s="10"/>
      <c r="D21" s="10"/>
      <c r="E21" s="10"/>
      <c r="F21" s="10"/>
      <c r="G21" s="10"/>
      <c r="H21" s="10"/>
      <c r="I21" s="10"/>
      <c r="J21" s="10"/>
      <c r="K21" s="10"/>
      <c r="L21" s="10"/>
      <c r="M21" s="10"/>
    </row>
    <row r="22" spans="1:13" s="4" customFormat="1" x14ac:dyDescent="0.25"/>
    <row r="23" spans="1:13" s="4" customFormat="1" x14ac:dyDescent="0.25">
      <c r="B23" s="8" t="s">
        <v>9</v>
      </c>
    </row>
    <row r="24" spans="1:13" ht="35.25" customHeight="1" x14ac:dyDescent="0.25">
      <c r="B24" s="92" t="s">
        <v>6</v>
      </c>
      <c r="C24" s="92"/>
      <c r="D24" s="92"/>
      <c r="E24" s="92"/>
      <c r="F24" s="92"/>
      <c r="G24" s="92" t="s">
        <v>7</v>
      </c>
      <c r="H24" s="92"/>
      <c r="I24" s="92"/>
      <c r="J24" s="92" t="s">
        <v>8</v>
      </c>
      <c r="K24" s="92"/>
      <c r="L24" s="92"/>
    </row>
    <row r="25" spans="1:13" s="4" customFormat="1" ht="15.75" x14ac:dyDescent="0.25">
      <c r="B25" s="95" t="s">
        <v>10</v>
      </c>
      <c r="C25" s="96"/>
      <c r="D25" s="96"/>
      <c r="E25" s="96"/>
      <c r="F25" s="97"/>
      <c r="G25" s="98">
        <v>2</v>
      </c>
      <c r="H25" s="98"/>
      <c r="I25" s="98"/>
      <c r="J25" s="98">
        <v>4</v>
      </c>
      <c r="K25" s="98"/>
      <c r="L25" s="98"/>
    </row>
    <row r="26" spans="1:13" s="4" customFormat="1" ht="15" customHeight="1" x14ac:dyDescent="0.25">
      <c r="B26" s="95" t="s">
        <v>11</v>
      </c>
      <c r="C26" s="96"/>
      <c r="D26" s="96"/>
      <c r="E26" s="96"/>
      <c r="F26" s="97"/>
      <c r="G26" s="98">
        <v>1</v>
      </c>
      <c r="H26" s="98"/>
      <c r="I26" s="98"/>
      <c r="J26" s="98">
        <v>1</v>
      </c>
      <c r="K26" s="98"/>
      <c r="L26" s="98"/>
    </row>
    <row r="27" spans="1:13" s="4" customFormat="1" ht="15.75" x14ac:dyDescent="0.25">
      <c r="B27" s="95" t="s">
        <v>12</v>
      </c>
      <c r="C27" s="96"/>
      <c r="D27" s="96"/>
      <c r="E27" s="96"/>
      <c r="F27" s="97"/>
      <c r="G27" s="98">
        <v>3</v>
      </c>
      <c r="H27" s="98"/>
      <c r="I27" s="98"/>
      <c r="J27" s="98">
        <v>2</v>
      </c>
      <c r="K27" s="98"/>
      <c r="L27" s="98"/>
    </row>
    <row r="28" spans="1:13" s="4" customFormat="1" ht="15.75" x14ac:dyDescent="0.25">
      <c r="B28" s="95" t="s">
        <v>13</v>
      </c>
      <c r="C28" s="96"/>
      <c r="D28" s="96"/>
      <c r="E28" s="96"/>
      <c r="F28" s="97"/>
      <c r="G28" s="98">
        <v>4</v>
      </c>
      <c r="H28" s="98"/>
      <c r="I28" s="98"/>
      <c r="J28" s="98">
        <v>3</v>
      </c>
      <c r="K28" s="98"/>
      <c r="L28" s="98"/>
    </row>
    <row r="29" spans="1:13" s="4" customFormat="1" x14ac:dyDescent="0.25"/>
    <row r="30" spans="1:13" s="4" customFormat="1" x14ac:dyDescent="0.25"/>
    <row r="31" spans="1:13" s="4" customFormat="1" hidden="1" x14ac:dyDescent="0.25"/>
  </sheetData>
  <mergeCells count="44">
    <mergeCell ref="B28:F28"/>
    <mergeCell ref="G28:I28"/>
    <mergeCell ref="J28:L28"/>
    <mergeCell ref="B26:F26"/>
    <mergeCell ref="G26:I26"/>
    <mergeCell ref="J26:L26"/>
    <mergeCell ref="B27:F27"/>
    <mergeCell ref="G27:I27"/>
    <mergeCell ref="J27:L27"/>
    <mergeCell ref="B24:F24"/>
    <mergeCell ref="G24:I24"/>
    <mergeCell ref="J24:L24"/>
    <mergeCell ref="B25:F25"/>
    <mergeCell ref="G25:I25"/>
    <mergeCell ref="J25:L25"/>
    <mergeCell ref="B17:F17"/>
    <mergeCell ref="G17:I17"/>
    <mergeCell ref="J17:L17"/>
    <mergeCell ref="B16:F16"/>
    <mergeCell ref="G16:I16"/>
    <mergeCell ref="J16:L16"/>
    <mergeCell ref="B18:F18"/>
    <mergeCell ref="G18:I18"/>
    <mergeCell ref="J18:L18"/>
    <mergeCell ref="B19:F19"/>
    <mergeCell ref="G19:I19"/>
    <mergeCell ref="J19:L19"/>
    <mergeCell ref="B14:F14"/>
    <mergeCell ref="G14:I14"/>
    <mergeCell ref="J14:L14"/>
    <mergeCell ref="B15:F15"/>
    <mergeCell ref="G15:I15"/>
    <mergeCell ref="J15:L15"/>
    <mergeCell ref="B12:F12"/>
    <mergeCell ref="G12:I12"/>
    <mergeCell ref="J12:L12"/>
    <mergeCell ref="B13:F13"/>
    <mergeCell ref="G13:I13"/>
    <mergeCell ref="J13:L13"/>
    <mergeCell ref="B11:F11"/>
    <mergeCell ref="G11:I11"/>
    <mergeCell ref="J11:L11"/>
    <mergeCell ref="B1:L1"/>
    <mergeCell ref="B9:L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97324-6A49-4E15-8958-2E2A682F6119}">
  <dimension ref="A1:V46"/>
  <sheetViews>
    <sheetView rightToLeft="1" workbookViewId="0">
      <selection activeCell="B6" sqref="B6:F10"/>
    </sheetView>
  </sheetViews>
  <sheetFormatPr defaultColWidth="0" defaultRowHeight="15" customHeight="1" zeroHeight="1" x14ac:dyDescent="0.25"/>
  <cols>
    <col min="1" max="1" width="3" style="4" customWidth="1"/>
    <col min="2" max="15" width="9.140625" customWidth="1"/>
    <col min="16" max="19" width="6.140625" customWidth="1"/>
    <col min="20" max="20" width="19.28515625" style="4" hidden="1" customWidth="1"/>
    <col min="21" max="22" width="9.140625" style="4" hidden="1" customWidth="1"/>
    <col min="23" max="16384" width="9.140625" hidden="1"/>
  </cols>
  <sheetData>
    <row r="1" spans="1:22" s="4" customFormat="1" ht="44.25" customHeight="1" x14ac:dyDescent="0.25">
      <c r="B1" s="85" t="s">
        <v>94</v>
      </c>
      <c r="C1" s="85"/>
      <c r="D1" s="85"/>
      <c r="E1" s="85"/>
      <c r="F1" s="85"/>
      <c r="G1" s="85"/>
      <c r="H1" s="85"/>
      <c r="I1" s="85"/>
      <c r="J1" s="85"/>
      <c r="K1" s="85"/>
      <c r="L1" s="85"/>
      <c r="M1" s="85"/>
      <c r="N1" s="85"/>
      <c r="O1" s="85"/>
      <c r="P1" s="85"/>
      <c r="Q1" s="85"/>
      <c r="R1" s="85"/>
      <c r="S1" s="5"/>
    </row>
    <row r="2" spans="1:22" x14ac:dyDescent="0.25">
      <c r="B2" s="1"/>
      <c r="C2" s="1"/>
      <c r="D2" s="1"/>
      <c r="E2" s="1"/>
      <c r="F2" s="1"/>
      <c r="G2" s="1"/>
      <c r="H2" s="1"/>
      <c r="I2" s="1"/>
      <c r="J2" s="1"/>
      <c r="K2" s="1"/>
      <c r="L2" s="1"/>
      <c r="M2" s="1"/>
      <c r="N2" s="1"/>
      <c r="O2" s="1"/>
      <c r="P2" s="1"/>
      <c r="Q2" s="1"/>
      <c r="R2" s="1"/>
      <c r="S2" s="1"/>
    </row>
    <row r="3" spans="1:22" s="2" customFormat="1" ht="71.25" customHeight="1" x14ac:dyDescent="0.25">
      <c r="A3" s="6"/>
      <c r="B3" s="86" t="s">
        <v>26</v>
      </c>
      <c r="C3" s="86"/>
      <c r="D3" s="86"/>
      <c r="E3" s="86"/>
      <c r="F3" s="86"/>
      <c r="G3" s="86"/>
      <c r="H3" s="86"/>
      <c r="I3" s="86"/>
      <c r="J3" s="86"/>
      <c r="K3" s="86"/>
      <c r="L3" s="86"/>
      <c r="M3" s="86"/>
      <c r="N3" s="86"/>
      <c r="O3" s="86"/>
      <c r="P3" s="86"/>
      <c r="Q3" s="86"/>
      <c r="R3" s="86"/>
      <c r="S3" s="3"/>
      <c r="T3" s="6"/>
      <c r="U3" s="6"/>
      <c r="V3" s="6"/>
    </row>
    <row r="4" spans="1:22" x14ac:dyDescent="0.25">
      <c r="B4" s="4"/>
      <c r="C4" s="4"/>
      <c r="D4" s="4"/>
      <c r="E4" s="4"/>
      <c r="F4" s="4"/>
      <c r="G4" s="4"/>
      <c r="H4" s="4"/>
      <c r="I4" s="4"/>
      <c r="J4" s="4"/>
      <c r="K4" s="4"/>
      <c r="L4" s="4"/>
      <c r="M4" s="4"/>
      <c r="N4" s="4"/>
      <c r="O4" s="4"/>
      <c r="P4" s="4"/>
      <c r="Q4" s="4"/>
      <c r="R4" s="4"/>
      <c r="S4" s="4"/>
    </row>
    <row r="5" spans="1:22" ht="35.25" customHeight="1" x14ac:dyDescent="0.25">
      <c r="B5" s="92" t="s">
        <v>97</v>
      </c>
      <c r="C5" s="92"/>
      <c r="D5" s="92"/>
      <c r="E5" s="92"/>
      <c r="F5" s="92"/>
      <c r="G5" s="92" t="s">
        <v>14</v>
      </c>
      <c r="H5" s="92"/>
      <c r="I5" s="92"/>
      <c r="J5" s="92"/>
      <c r="K5" s="92"/>
      <c r="L5" s="11" t="s">
        <v>68</v>
      </c>
      <c r="M5" s="92" t="s">
        <v>15</v>
      </c>
      <c r="N5" s="92"/>
      <c r="O5" s="92"/>
      <c r="P5" s="92" t="s">
        <v>16</v>
      </c>
      <c r="Q5" s="92"/>
      <c r="R5" s="92"/>
      <c r="S5" s="64"/>
    </row>
    <row r="6" spans="1:22" s="4" customFormat="1" ht="15.75" x14ac:dyDescent="0.25">
      <c r="B6" s="102">
        <v>1</v>
      </c>
      <c r="C6" s="103"/>
      <c r="D6" s="103"/>
      <c r="E6" s="103"/>
      <c r="F6" s="104"/>
      <c r="G6" s="117"/>
      <c r="H6" s="118"/>
      <c r="I6" s="118"/>
      <c r="J6" s="118"/>
      <c r="K6" s="119"/>
      <c r="L6" s="111">
        <v>0.25</v>
      </c>
      <c r="M6" s="94" t="s">
        <v>114</v>
      </c>
      <c r="N6" s="94"/>
      <c r="O6" s="94"/>
      <c r="P6" s="94">
        <v>1</v>
      </c>
      <c r="Q6" s="94"/>
      <c r="R6" s="94"/>
      <c r="S6" s="59"/>
      <c r="T6" s="4" t="str">
        <f>M6</f>
        <v>הכנס טקסט לרמה 1</v>
      </c>
      <c r="U6" s="4">
        <f>B6</f>
        <v>1</v>
      </c>
      <c r="V6" s="63">
        <f>L6</f>
        <v>0.25</v>
      </c>
    </row>
    <row r="7" spans="1:22" s="4" customFormat="1" ht="15" customHeight="1" x14ac:dyDescent="0.25">
      <c r="B7" s="105"/>
      <c r="C7" s="106"/>
      <c r="D7" s="106"/>
      <c r="E7" s="106"/>
      <c r="F7" s="107"/>
      <c r="G7" s="120"/>
      <c r="H7" s="121"/>
      <c r="I7" s="121"/>
      <c r="J7" s="121"/>
      <c r="K7" s="122"/>
      <c r="L7" s="112"/>
      <c r="M7" s="94" t="s">
        <v>115</v>
      </c>
      <c r="N7" s="94"/>
      <c r="O7" s="94"/>
      <c r="P7" s="94">
        <v>2</v>
      </c>
      <c r="Q7" s="94"/>
      <c r="R7" s="94"/>
      <c r="S7" s="59"/>
      <c r="T7" s="4" t="str">
        <f t="shared" ref="T7:T30" si="0">M7</f>
        <v>הכנס טקסט לרמה 2</v>
      </c>
      <c r="U7" s="4">
        <f>B11</f>
        <v>2</v>
      </c>
      <c r="V7" s="63">
        <f>L11</f>
        <v>0.25</v>
      </c>
    </row>
    <row r="8" spans="1:22" s="4" customFormat="1" ht="15" customHeight="1" x14ac:dyDescent="0.25">
      <c r="B8" s="105"/>
      <c r="C8" s="106"/>
      <c r="D8" s="106"/>
      <c r="E8" s="106"/>
      <c r="F8" s="107"/>
      <c r="G8" s="120"/>
      <c r="H8" s="121"/>
      <c r="I8" s="121"/>
      <c r="J8" s="121"/>
      <c r="K8" s="122"/>
      <c r="L8" s="112"/>
      <c r="M8" s="94" t="s">
        <v>116</v>
      </c>
      <c r="N8" s="94"/>
      <c r="O8" s="94"/>
      <c r="P8" s="94">
        <v>3</v>
      </c>
      <c r="Q8" s="94"/>
      <c r="R8" s="94"/>
      <c r="S8" s="59"/>
      <c r="T8" s="4" t="str">
        <f t="shared" si="0"/>
        <v>הכנס טקסט לרמה 3</v>
      </c>
      <c r="U8" s="4">
        <f>B16</f>
        <v>3</v>
      </c>
      <c r="V8" s="63">
        <f>L16</f>
        <v>0.2</v>
      </c>
    </row>
    <row r="9" spans="1:22" s="4" customFormat="1" ht="15" customHeight="1" x14ac:dyDescent="0.25">
      <c r="B9" s="105"/>
      <c r="C9" s="106"/>
      <c r="D9" s="106"/>
      <c r="E9" s="106"/>
      <c r="F9" s="107"/>
      <c r="G9" s="120"/>
      <c r="H9" s="121"/>
      <c r="I9" s="121"/>
      <c r="J9" s="121"/>
      <c r="K9" s="122"/>
      <c r="L9" s="112"/>
      <c r="M9" s="94" t="s">
        <v>117</v>
      </c>
      <c r="N9" s="94"/>
      <c r="O9" s="94"/>
      <c r="P9" s="94">
        <v>4</v>
      </c>
      <c r="Q9" s="94"/>
      <c r="R9" s="94"/>
      <c r="S9" s="59"/>
      <c r="T9" s="4" t="str">
        <f t="shared" si="0"/>
        <v>הכנס טקסט לרמה 4</v>
      </c>
      <c r="U9" s="4">
        <f>B21</f>
        <v>4</v>
      </c>
      <c r="V9" s="63">
        <f>L21</f>
        <v>0.15</v>
      </c>
    </row>
    <row r="10" spans="1:22" s="4" customFormat="1" ht="15" customHeight="1" x14ac:dyDescent="0.25">
      <c r="B10" s="108"/>
      <c r="C10" s="109"/>
      <c r="D10" s="109"/>
      <c r="E10" s="109"/>
      <c r="F10" s="110"/>
      <c r="G10" s="123"/>
      <c r="H10" s="124"/>
      <c r="I10" s="124"/>
      <c r="J10" s="124"/>
      <c r="K10" s="125"/>
      <c r="L10" s="113"/>
      <c r="M10" s="94" t="s">
        <v>118</v>
      </c>
      <c r="N10" s="94"/>
      <c r="O10" s="94"/>
      <c r="P10" s="94">
        <v>5</v>
      </c>
      <c r="Q10" s="94"/>
      <c r="R10" s="94"/>
      <c r="S10" s="59"/>
      <c r="T10" s="4" t="str">
        <f t="shared" si="0"/>
        <v>הכנס טקסט לרמה 5</v>
      </c>
      <c r="U10" s="4">
        <f>B26</f>
        <v>5</v>
      </c>
      <c r="V10" s="63">
        <f>L26</f>
        <v>0.15</v>
      </c>
    </row>
    <row r="11" spans="1:22" s="4" customFormat="1" ht="15.75" x14ac:dyDescent="0.25">
      <c r="B11" s="102">
        <v>2</v>
      </c>
      <c r="C11" s="103"/>
      <c r="D11" s="103"/>
      <c r="E11" s="103"/>
      <c r="F11" s="104"/>
      <c r="G11" s="117"/>
      <c r="H11" s="118"/>
      <c r="I11" s="118"/>
      <c r="J11" s="118"/>
      <c r="K11" s="119"/>
      <c r="L11" s="111">
        <v>0.25</v>
      </c>
      <c r="M11" s="94" t="s">
        <v>114</v>
      </c>
      <c r="N11" s="94"/>
      <c r="O11" s="94"/>
      <c r="P11" s="94">
        <v>1</v>
      </c>
      <c r="Q11" s="94"/>
      <c r="R11" s="94"/>
      <c r="S11" s="59"/>
      <c r="T11" s="4" t="str">
        <f t="shared" si="0"/>
        <v>הכנס טקסט לרמה 1</v>
      </c>
    </row>
    <row r="12" spans="1:22" s="4" customFormat="1" ht="15.75" x14ac:dyDescent="0.25">
      <c r="B12" s="105"/>
      <c r="C12" s="106"/>
      <c r="D12" s="106"/>
      <c r="E12" s="106"/>
      <c r="F12" s="107"/>
      <c r="G12" s="120"/>
      <c r="H12" s="121"/>
      <c r="I12" s="121"/>
      <c r="J12" s="121"/>
      <c r="K12" s="122"/>
      <c r="L12" s="112"/>
      <c r="M12" s="94" t="s">
        <v>115</v>
      </c>
      <c r="N12" s="94"/>
      <c r="O12" s="94"/>
      <c r="P12" s="94">
        <v>2</v>
      </c>
      <c r="Q12" s="94"/>
      <c r="R12" s="94"/>
      <c r="S12" s="59"/>
      <c r="T12" s="4" t="str">
        <f t="shared" si="0"/>
        <v>הכנס טקסט לרמה 2</v>
      </c>
    </row>
    <row r="13" spans="1:22" s="4" customFormat="1" ht="15.75" x14ac:dyDescent="0.25">
      <c r="B13" s="105"/>
      <c r="C13" s="106"/>
      <c r="D13" s="106"/>
      <c r="E13" s="106"/>
      <c r="F13" s="107"/>
      <c r="G13" s="120"/>
      <c r="H13" s="121"/>
      <c r="I13" s="121"/>
      <c r="J13" s="121"/>
      <c r="K13" s="122"/>
      <c r="L13" s="112"/>
      <c r="M13" s="94" t="s">
        <v>116</v>
      </c>
      <c r="N13" s="94"/>
      <c r="O13" s="94"/>
      <c r="P13" s="94">
        <v>3</v>
      </c>
      <c r="Q13" s="94"/>
      <c r="R13" s="94"/>
      <c r="S13" s="59"/>
      <c r="T13" s="4" t="str">
        <f t="shared" si="0"/>
        <v>הכנס טקסט לרמה 3</v>
      </c>
    </row>
    <row r="14" spans="1:22" s="4" customFormat="1" ht="15.75" x14ac:dyDescent="0.25">
      <c r="B14" s="105"/>
      <c r="C14" s="106"/>
      <c r="D14" s="106"/>
      <c r="E14" s="106"/>
      <c r="F14" s="107"/>
      <c r="G14" s="120"/>
      <c r="H14" s="121"/>
      <c r="I14" s="121"/>
      <c r="J14" s="121"/>
      <c r="K14" s="122"/>
      <c r="L14" s="112"/>
      <c r="M14" s="94" t="s">
        <v>117</v>
      </c>
      <c r="N14" s="94"/>
      <c r="O14" s="94"/>
      <c r="P14" s="94">
        <v>4</v>
      </c>
      <c r="Q14" s="94"/>
      <c r="R14" s="94"/>
      <c r="S14" s="59"/>
      <c r="T14" s="4" t="str">
        <f t="shared" si="0"/>
        <v>הכנס טקסט לרמה 4</v>
      </c>
    </row>
    <row r="15" spans="1:22" s="4" customFormat="1" ht="15.75" x14ac:dyDescent="0.25">
      <c r="B15" s="108"/>
      <c r="C15" s="109"/>
      <c r="D15" s="109"/>
      <c r="E15" s="109"/>
      <c r="F15" s="110"/>
      <c r="G15" s="123"/>
      <c r="H15" s="124"/>
      <c r="I15" s="124"/>
      <c r="J15" s="124"/>
      <c r="K15" s="125"/>
      <c r="L15" s="113"/>
      <c r="M15" s="94" t="s">
        <v>118</v>
      </c>
      <c r="N15" s="94"/>
      <c r="O15" s="94"/>
      <c r="P15" s="94">
        <v>5</v>
      </c>
      <c r="Q15" s="94"/>
      <c r="R15" s="94"/>
      <c r="S15" s="59"/>
      <c r="T15" s="4" t="str">
        <f t="shared" si="0"/>
        <v>הכנס טקסט לרמה 5</v>
      </c>
    </row>
    <row r="16" spans="1:22" s="4" customFormat="1" ht="15.75" x14ac:dyDescent="0.25">
      <c r="B16" s="102">
        <v>3</v>
      </c>
      <c r="C16" s="103"/>
      <c r="D16" s="103"/>
      <c r="E16" s="103"/>
      <c r="F16" s="104"/>
      <c r="G16" s="117"/>
      <c r="H16" s="118"/>
      <c r="I16" s="118"/>
      <c r="J16" s="118"/>
      <c r="K16" s="119"/>
      <c r="L16" s="111">
        <v>0.2</v>
      </c>
      <c r="M16" s="94" t="s">
        <v>114</v>
      </c>
      <c r="N16" s="94"/>
      <c r="O16" s="94"/>
      <c r="P16" s="94">
        <v>1</v>
      </c>
      <c r="Q16" s="94"/>
      <c r="R16" s="94"/>
      <c r="S16" s="59"/>
      <c r="T16" s="4" t="str">
        <f t="shared" si="0"/>
        <v>הכנס טקסט לרמה 1</v>
      </c>
    </row>
    <row r="17" spans="2:20" s="4" customFormat="1" ht="15.75" x14ac:dyDescent="0.25">
      <c r="B17" s="105"/>
      <c r="C17" s="106"/>
      <c r="D17" s="106"/>
      <c r="E17" s="106"/>
      <c r="F17" s="107"/>
      <c r="G17" s="120"/>
      <c r="H17" s="121"/>
      <c r="I17" s="121"/>
      <c r="J17" s="121"/>
      <c r="K17" s="122"/>
      <c r="L17" s="112"/>
      <c r="M17" s="94" t="s">
        <v>115</v>
      </c>
      <c r="N17" s="94"/>
      <c r="O17" s="94"/>
      <c r="P17" s="94">
        <v>2</v>
      </c>
      <c r="Q17" s="94"/>
      <c r="R17" s="94"/>
      <c r="S17" s="59"/>
      <c r="T17" s="4" t="str">
        <f t="shared" si="0"/>
        <v>הכנס טקסט לרמה 2</v>
      </c>
    </row>
    <row r="18" spans="2:20" s="4" customFormat="1" ht="15.75" x14ac:dyDescent="0.25">
      <c r="B18" s="105"/>
      <c r="C18" s="106"/>
      <c r="D18" s="106"/>
      <c r="E18" s="106"/>
      <c r="F18" s="107"/>
      <c r="G18" s="120"/>
      <c r="H18" s="121"/>
      <c r="I18" s="121"/>
      <c r="J18" s="121"/>
      <c r="K18" s="122"/>
      <c r="L18" s="112"/>
      <c r="M18" s="94" t="s">
        <v>116</v>
      </c>
      <c r="N18" s="94"/>
      <c r="O18" s="94"/>
      <c r="P18" s="94">
        <v>3</v>
      </c>
      <c r="Q18" s="94"/>
      <c r="R18" s="94"/>
      <c r="S18" s="59"/>
      <c r="T18" s="4" t="str">
        <f t="shared" si="0"/>
        <v>הכנס טקסט לרמה 3</v>
      </c>
    </row>
    <row r="19" spans="2:20" s="4" customFormat="1" ht="15.75" x14ac:dyDescent="0.25">
      <c r="B19" s="105"/>
      <c r="C19" s="106"/>
      <c r="D19" s="106"/>
      <c r="E19" s="106"/>
      <c r="F19" s="107"/>
      <c r="G19" s="120"/>
      <c r="H19" s="121"/>
      <c r="I19" s="121"/>
      <c r="J19" s="121"/>
      <c r="K19" s="122"/>
      <c r="L19" s="112"/>
      <c r="M19" s="94" t="s">
        <v>117</v>
      </c>
      <c r="N19" s="94"/>
      <c r="O19" s="94"/>
      <c r="P19" s="94">
        <v>4</v>
      </c>
      <c r="Q19" s="94"/>
      <c r="R19" s="94"/>
      <c r="S19" s="59"/>
      <c r="T19" s="4" t="str">
        <f t="shared" si="0"/>
        <v>הכנס טקסט לרמה 4</v>
      </c>
    </row>
    <row r="20" spans="2:20" s="4" customFormat="1" ht="15.75" x14ac:dyDescent="0.25">
      <c r="B20" s="108"/>
      <c r="C20" s="109"/>
      <c r="D20" s="109"/>
      <c r="E20" s="109"/>
      <c r="F20" s="110"/>
      <c r="G20" s="123"/>
      <c r="H20" s="124"/>
      <c r="I20" s="124"/>
      <c r="J20" s="124"/>
      <c r="K20" s="125"/>
      <c r="L20" s="113"/>
      <c r="M20" s="94" t="s">
        <v>118</v>
      </c>
      <c r="N20" s="94"/>
      <c r="O20" s="94"/>
      <c r="P20" s="94">
        <v>5</v>
      </c>
      <c r="Q20" s="94"/>
      <c r="R20" s="94"/>
      <c r="S20" s="59"/>
      <c r="T20" s="4" t="str">
        <f t="shared" si="0"/>
        <v>הכנס טקסט לרמה 5</v>
      </c>
    </row>
    <row r="21" spans="2:20" s="4" customFormat="1" ht="15.75" x14ac:dyDescent="0.25">
      <c r="B21" s="102">
        <v>4</v>
      </c>
      <c r="C21" s="103"/>
      <c r="D21" s="103"/>
      <c r="E21" s="103"/>
      <c r="F21" s="104"/>
      <c r="G21" s="117"/>
      <c r="H21" s="118"/>
      <c r="I21" s="118"/>
      <c r="J21" s="118"/>
      <c r="K21" s="119"/>
      <c r="L21" s="111">
        <v>0.15</v>
      </c>
      <c r="M21" s="94" t="s">
        <v>114</v>
      </c>
      <c r="N21" s="94"/>
      <c r="O21" s="94"/>
      <c r="P21" s="94">
        <v>1</v>
      </c>
      <c r="Q21" s="94"/>
      <c r="R21" s="94"/>
      <c r="S21" s="59"/>
      <c r="T21" s="4" t="str">
        <f t="shared" si="0"/>
        <v>הכנס טקסט לרמה 1</v>
      </c>
    </row>
    <row r="22" spans="2:20" s="4" customFormat="1" ht="15.75" x14ac:dyDescent="0.25">
      <c r="B22" s="105"/>
      <c r="C22" s="106"/>
      <c r="D22" s="106"/>
      <c r="E22" s="106"/>
      <c r="F22" s="107"/>
      <c r="G22" s="120"/>
      <c r="H22" s="121"/>
      <c r="I22" s="121"/>
      <c r="J22" s="121"/>
      <c r="K22" s="122"/>
      <c r="L22" s="112"/>
      <c r="M22" s="94" t="s">
        <v>115</v>
      </c>
      <c r="N22" s="94"/>
      <c r="O22" s="94"/>
      <c r="P22" s="94">
        <v>2</v>
      </c>
      <c r="Q22" s="94"/>
      <c r="R22" s="94"/>
      <c r="S22" s="59"/>
      <c r="T22" s="4" t="str">
        <f t="shared" si="0"/>
        <v>הכנס טקסט לרמה 2</v>
      </c>
    </row>
    <row r="23" spans="2:20" s="4" customFormat="1" ht="15.75" x14ac:dyDescent="0.25">
      <c r="B23" s="105"/>
      <c r="C23" s="106"/>
      <c r="D23" s="106"/>
      <c r="E23" s="106"/>
      <c r="F23" s="107"/>
      <c r="G23" s="120"/>
      <c r="H23" s="121"/>
      <c r="I23" s="121"/>
      <c r="J23" s="121"/>
      <c r="K23" s="122"/>
      <c r="L23" s="112"/>
      <c r="M23" s="94" t="s">
        <v>116</v>
      </c>
      <c r="N23" s="94"/>
      <c r="O23" s="94"/>
      <c r="P23" s="94">
        <v>3</v>
      </c>
      <c r="Q23" s="94"/>
      <c r="R23" s="94"/>
      <c r="S23" s="59"/>
      <c r="T23" s="4" t="str">
        <f t="shared" si="0"/>
        <v>הכנס טקסט לרמה 3</v>
      </c>
    </row>
    <row r="24" spans="2:20" s="4" customFormat="1" ht="15.75" x14ac:dyDescent="0.25">
      <c r="B24" s="105"/>
      <c r="C24" s="106"/>
      <c r="D24" s="106"/>
      <c r="E24" s="106"/>
      <c r="F24" s="107"/>
      <c r="G24" s="120"/>
      <c r="H24" s="121"/>
      <c r="I24" s="121"/>
      <c r="J24" s="121"/>
      <c r="K24" s="122"/>
      <c r="L24" s="112"/>
      <c r="M24" s="94" t="s">
        <v>117</v>
      </c>
      <c r="N24" s="94"/>
      <c r="O24" s="94"/>
      <c r="P24" s="94">
        <v>4</v>
      </c>
      <c r="Q24" s="94"/>
      <c r="R24" s="94"/>
      <c r="S24" s="59"/>
      <c r="T24" s="4" t="str">
        <f t="shared" si="0"/>
        <v>הכנס טקסט לרמה 4</v>
      </c>
    </row>
    <row r="25" spans="2:20" s="4" customFormat="1" ht="15.75" x14ac:dyDescent="0.25">
      <c r="B25" s="108"/>
      <c r="C25" s="109"/>
      <c r="D25" s="109"/>
      <c r="E25" s="109"/>
      <c r="F25" s="110"/>
      <c r="G25" s="123"/>
      <c r="H25" s="124"/>
      <c r="I25" s="124"/>
      <c r="J25" s="124"/>
      <c r="K25" s="125"/>
      <c r="L25" s="113"/>
      <c r="M25" s="94" t="s">
        <v>118</v>
      </c>
      <c r="N25" s="94"/>
      <c r="O25" s="94"/>
      <c r="P25" s="94">
        <v>5</v>
      </c>
      <c r="Q25" s="94"/>
      <c r="R25" s="94"/>
      <c r="S25" s="59"/>
      <c r="T25" s="4" t="str">
        <f t="shared" si="0"/>
        <v>הכנס טקסט לרמה 5</v>
      </c>
    </row>
    <row r="26" spans="2:20" s="4" customFormat="1" ht="15.75" x14ac:dyDescent="0.25">
      <c r="B26" s="102">
        <v>5</v>
      </c>
      <c r="C26" s="103"/>
      <c r="D26" s="103"/>
      <c r="E26" s="103"/>
      <c r="F26" s="104"/>
      <c r="G26" s="117"/>
      <c r="H26" s="118"/>
      <c r="I26" s="118"/>
      <c r="J26" s="118"/>
      <c r="K26" s="119"/>
      <c r="L26" s="111">
        <v>0.15</v>
      </c>
      <c r="M26" s="94" t="s">
        <v>114</v>
      </c>
      <c r="N26" s="94"/>
      <c r="O26" s="94"/>
      <c r="P26" s="94">
        <v>1</v>
      </c>
      <c r="Q26" s="94"/>
      <c r="R26" s="94"/>
      <c r="S26" s="59"/>
      <c r="T26" s="4" t="str">
        <f t="shared" si="0"/>
        <v>הכנס טקסט לרמה 1</v>
      </c>
    </row>
    <row r="27" spans="2:20" s="4" customFormat="1" ht="15.75" x14ac:dyDescent="0.25">
      <c r="B27" s="105"/>
      <c r="C27" s="106"/>
      <c r="D27" s="106"/>
      <c r="E27" s="106"/>
      <c r="F27" s="107"/>
      <c r="G27" s="120"/>
      <c r="H27" s="121"/>
      <c r="I27" s="121"/>
      <c r="J27" s="121"/>
      <c r="K27" s="122"/>
      <c r="L27" s="112"/>
      <c r="M27" s="94" t="s">
        <v>115</v>
      </c>
      <c r="N27" s="94"/>
      <c r="O27" s="94"/>
      <c r="P27" s="94">
        <v>2</v>
      </c>
      <c r="Q27" s="94"/>
      <c r="R27" s="94"/>
      <c r="S27" s="59"/>
      <c r="T27" s="4" t="str">
        <f t="shared" si="0"/>
        <v>הכנס טקסט לרמה 2</v>
      </c>
    </row>
    <row r="28" spans="2:20" s="4" customFormat="1" ht="15.75" x14ac:dyDescent="0.25">
      <c r="B28" s="105"/>
      <c r="C28" s="106"/>
      <c r="D28" s="106"/>
      <c r="E28" s="106"/>
      <c r="F28" s="107"/>
      <c r="G28" s="120"/>
      <c r="H28" s="121"/>
      <c r="I28" s="121"/>
      <c r="J28" s="121"/>
      <c r="K28" s="122"/>
      <c r="L28" s="112"/>
      <c r="M28" s="94" t="s">
        <v>116</v>
      </c>
      <c r="N28" s="94"/>
      <c r="O28" s="94"/>
      <c r="P28" s="94">
        <v>3</v>
      </c>
      <c r="Q28" s="94"/>
      <c r="R28" s="94"/>
      <c r="S28" s="59"/>
      <c r="T28" s="4" t="str">
        <f t="shared" si="0"/>
        <v>הכנס טקסט לרמה 3</v>
      </c>
    </row>
    <row r="29" spans="2:20" s="4" customFormat="1" ht="15.75" x14ac:dyDescent="0.25">
      <c r="B29" s="105"/>
      <c r="C29" s="106"/>
      <c r="D29" s="106"/>
      <c r="E29" s="106"/>
      <c r="F29" s="107"/>
      <c r="G29" s="120"/>
      <c r="H29" s="121"/>
      <c r="I29" s="121"/>
      <c r="J29" s="121"/>
      <c r="K29" s="122"/>
      <c r="L29" s="112"/>
      <c r="M29" s="94" t="s">
        <v>117</v>
      </c>
      <c r="N29" s="94"/>
      <c r="O29" s="94"/>
      <c r="P29" s="94">
        <v>4</v>
      </c>
      <c r="Q29" s="94"/>
      <c r="R29" s="94"/>
      <c r="S29" s="59"/>
      <c r="T29" s="4" t="str">
        <f t="shared" si="0"/>
        <v>הכנס טקסט לרמה 4</v>
      </c>
    </row>
    <row r="30" spans="2:20" s="4" customFormat="1" ht="15.75" x14ac:dyDescent="0.25">
      <c r="B30" s="108"/>
      <c r="C30" s="109"/>
      <c r="D30" s="109"/>
      <c r="E30" s="109"/>
      <c r="F30" s="110"/>
      <c r="G30" s="123"/>
      <c r="H30" s="124"/>
      <c r="I30" s="124"/>
      <c r="J30" s="124"/>
      <c r="K30" s="125"/>
      <c r="L30" s="113"/>
      <c r="M30" s="94" t="s">
        <v>118</v>
      </c>
      <c r="N30" s="94"/>
      <c r="O30" s="94"/>
      <c r="P30" s="94">
        <v>5</v>
      </c>
      <c r="Q30" s="94"/>
      <c r="R30" s="94"/>
      <c r="S30" s="59"/>
      <c r="T30" s="4" t="str">
        <f t="shared" si="0"/>
        <v>הכנס טקסט לרמה 5</v>
      </c>
    </row>
    <row r="31" spans="2:20" s="4" customFormat="1" ht="21" x14ac:dyDescent="0.25">
      <c r="B31" s="58"/>
      <c r="C31" s="58"/>
      <c r="D31" s="58"/>
      <c r="E31" s="58"/>
      <c r="F31" s="58"/>
      <c r="G31" s="54"/>
      <c r="H31" s="54"/>
      <c r="I31" s="54"/>
      <c r="J31" s="54"/>
      <c r="K31" s="54"/>
      <c r="L31" s="60">
        <f>SUM(L6:L30)</f>
        <v>1</v>
      </c>
      <c r="M31" s="59"/>
      <c r="N31" s="59"/>
      <c r="O31" s="59"/>
      <c r="P31" s="59"/>
      <c r="Q31" s="59"/>
      <c r="R31" s="59"/>
      <c r="S31" s="59"/>
    </row>
    <row r="32" spans="2:20" s="4" customFormat="1" x14ac:dyDescent="0.25"/>
    <row r="33" spans="1:20" s="4" customFormat="1" x14ac:dyDescent="0.25">
      <c r="A33" s="10"/>
      <c r="B33" s="10"/>
      <c r="C33" s="10"/>
      <c r="D33" s="10"/>
      <c r="E33" s="10"/>
      <c r="F33" s="10"/>
      <c r="G33" s="10"/>
      <c r="H33" s="10"/>
      <c r="I33" s="10"/>
      <c r="J33" s="10"/>
      <c r="K33" s="10"/>
      <c r="L33" s="10"/>
      <c r="M33" s="10"/>
      <c r="N33" s="10"/>
      <c r="O33" s="10"/>
      <c r="P33" s="10"/>
      <c r="Q33" s="10"/>
      <c r="R33" s="10"/>
      <c r="S33" s="10"/>
      <c r="T33" s="10"/>
    </row>
    <row r="34" spans="1:20" s="4" customFormat="1" x14ac:dyDescent="0.25">
      <c r="A34" s="6"/>
      <c r="B34" s="6"/>
      <c r="C34" s="6"/>
      <c r="D34" s="6"/>
      <c r="E34" s="6"/>
      <c r="F34" s="6"/>
      <c r="G34" s="6"/>
      <c r="H34" s="6"/>
      <c r="I34" s="6"/>
      <c r="J34" s="6"/>
      <c r="K34" s="6"/>
      <c r="L34" s="6"/>
      <c r="M34" s="6"/>
      <c r="N34" s="6"/>
      <c r="O34" s="6"/>
      <c r="P34" s="6"/>
      <c r="Q34" s="6"/>
      <c r="R34" s="6"/>
      <c r="S34" s="6"/>
      <c r="T34" s="6"/>
    </row>
    <row r="35" spans="1:20" s="4" customFormat="1" x14ac:dyDescent="0.25">
      <c r="B35" s="8" t="s">
        <v>9</v>
      </c>
    </row>
    <row r="36" spans="1:20" ht="35.25" customHeight="1" x14ac:dyDescent="0.25">
      <c r="B36" s="92" t="s">
        <v>97</v>
      </c>
      <c r="C36" s="92"/>
      <c r="D36" s="92"/>
      <c r="E36" s="92"/>
      <c r="F36" s="92"/>
      <c r="G36" s="92" t="s">
        <v>14</v>
      </c>
      <c r="H36" s="92"/>
      <c r="I36" s="92"/>
      <c r="J36" s="92"/>
      <c r="K36" s="92"/>
      <c r="L36" s="11" t="s">
        <v>96</v>
      </c>
      <c r="M36" s="92" t="s">
        <v>15</v>
      </c>
      <c r="N36" s="92"/>
      <c r="O36" s="92"/>
      <c r="P36" s="92" t="s">
        <v>16</v>
      </c>
      <c r="Q36" s="92"/>
      <c r="R36" s="92"/>
      <c r="S36" s="62"/>
    </row>
    <row r="37" spans="1:20" s="4" customFormat="1" ht="15.75" x14ac:dyDescent="0.25">
      <c r="B37" s="126" t="s">
        <v>18</v>
      </c>
      <c r="C37" s="127"/>
      <c r="D37" s="127"/>
      <c r="E37" s="127"/>
      <c r="F37" s="128"/>
      <c r="G37" s="135" t="s">
        <v>19</v>
      </c>
      <c r="H37" s="136"/>
      <c r="I37" s="136"/>
      <c r="J37" s="136"/>
      <c r="K37" s="137"/>
      <c r="L37" s="99">
        <v>0.25</v>
      </c>
      <c r="M37" s="114" t="s">
        <v>20</v>
      </c>
      <c r="N37" s="115"/>
      <c r="O37" s="116"/>
      <c r="P37" s="98">
        <v>1</v>
      </c>
      <c r="Q37" s="98"/>
      <c r="R37" s="98"/>
      <c r="S37" s="59"/>
    </row>
    <row r="38" spans="1:20" s="4" customFormat="1" ht="15" customHeight="1" x14ac:dyDescent="0.25">
      <c r="B38" s="129"/>
      <c r="C38" s="130"/>
      <c r="D38" s="130"/>
      <c r="E38" s="130"/>
      <c r="F38" s="131"/>
      <c r="G38" s="138"/>
      <c r="H38" s="139"/>
      <c r="I38" s="139"/>
      <c r="J38" s="139"/>
      <c r="K38" s="140"/>
      <c r="L38" s="100"/>
      <c r="M38" s="114" t="s">
        <v>21</v>
      </c>
      <c r="N38" s="115"/>
      <c r="O38" s="116"/>
      <c r="P38" s="98">
        <v>2</v>
      </c>
      <c r="Q38" s="98"/>
      <c r="R38" s="98"/>
      <c r="S38" s="59"/>
    </row>
    <row r="39" spans="1:20" s="4" customFormat="1" ht="15.75" x14ac:dyDescent="0.25">
      <c r="B39" s="129"/>
      <c r="C39" s="130"/>
      <c r="D39" s="130"/>
      <c r="E39" s="130"/>
      <c r="F39" s="131"/>
      <c r="G39" s="138"/>
      <c r="H39" s="139"/>
      <c r="I39" s="139"/>
      <c r="J39" s="139"/>
      <c r="K39" s="140"/>
      <c r="L39" s="100"/>
      <c r="M39" s="114" t="s">
        <v>22</v>
      </c>
      <c r="N39" s="115"/>
      <c r="O39" s="116"/>
      <c r="P39" s="98">
        <v>3</v>
      </c>
      <c r="Q39" s="98"/>
      <c r="R39" s="98"/>
      <c r="S39" s="59"/>
    </row>
    <row r="40" spans="1:20" s="4" customFormat="1" ht="15.75" x14ac:dyDescent="0.25">
      <c r="B40" s="129"/>
      <c r="C40" s="130"/>
      <c r="D40" s="130"/>
      <c r="E40" s="130"/>
      <c r="F40" s="131"/>
      <c r="G40" s="138"/>
      <c r="H40" s="139"/>
      <c r="I40" s="139"/>
      <c r="J40" s="139"/>
      <c r="K40" s="140"/>
      <c r="L40" s="100"/>
      <c r="M40" s="114" t="s">
        <v>23</v>
      </c>
      <c r="N40" s="115"/>
      <c r="O40" s="116"/>
      <c r="P40" s="98">
        <v>4</v>
      </c>
      <c r="Q40" s="98"/>
      <c r="R40" s="98"/>
      <c r="S40" s="59"/>
    </row>
    <row r="41" spans="1:20" s="4" customFormat="1" ht="15.75" x14ac:dyDescent="0.25">
      <c r="B41" s="132"/>
      <c r="C41" s="133"/>
      <c r="D41" s="133"/>
      <c r="E41" s="133"/>
      <c r="F41" s="134"/>
      <c r="G41" s="141"/>
      <c r="H41" s="142"/>
      <c r="I41" s="142"/>
      <c r="J41" s="142"/>
      <c r="K41" s="143"/>
      <c r="L41" s="101"/>
      <c r="M41" s="114" t="s">
        <v>24</v>
      </c>
      <c r="N41" s="115"/>
      <c r="O41" s="116"/>
      <c r="P41" s="98">
        <v>5</v>
      </c>
      <c r="Q41" s="98"/>
      <c r="R41" s="98"/>
      <c r="S41" s="59"/>
    </row>
    <row r="42" spans="1:20" s="4" customFormat="1" ht="15" customHeight="1" x14ac:dyDescent="0.25"/>
    <row r="43" spans="1:20" s="4" customFormat="1" ht="15" hidden="1" customHeight="1" x14ac:dyDescent="0.25"/>
    <row r="44" spans="1:20" s="4" customFormat="1" ht="15" hidden="1" customHeight="1" x14ac:dyDescent="0.25"/>
    <row r="45" spans="1:20" ht="15" customHeight="1" x14ac:dyDescent="0.25">
      <c r="B45" s="4"/>
      <c r="C45" s="4"/>
      <c r="D45" s="4"/>
      <c r="E45" s="4"/>
      <c r="F45" s="4"/>
      <c r="G45" s="4"/>
      <c r="H45" s="4"/>
      <c r="I45" s="4"/>
      <c r="J45" s="4"/>
      <c r="K45" s="4"/>
      <c r="L45" s="4"/>
      <c r="M45" s="4"/>
      <c r="N45" s="4"/>
      <c r="O45" s="4"/>
      <c r="P45" s="4"/>
      <c r="Q45" s="4"/>
      <c r="R45" s="4"/>
      <c r="S45" s="4"/>
    </row>
    <row r="46" spans="1:20" ht="15" hidden="1" customHeight="1" x14ac:dyDescent="0.25">
      <c r="B46" s="4"/>
      <c r="C46" s="4"/>
      <c r="D46" s="4"/>
      <c r="E46" s="4"/>
      <c r="F46" s="4"/>
      <c r="G46" s="4"/>
      <c r="H46" s="4"/>
      <c r="I46" s="4"/>
      <c r="J46" s="4"/>
      <c r="K46" s="4"/>
      <c r="L46" s="4"/>
      <c r="M46" s="4"/>
      <c r="N46" s="4"/>
      <c r="O46" s="4"/>
      <c r="P46" s="4"/>
      <c r="Q46" s="4"/>
      <c r="R46" s="4"/>
      <c r="S46" s="4"/>
    </row>
  </sheetData>
  <mergeCells count="88">
    <mergeCell ref="M41:O41"/>
    <mergeCell ref="P36:R36"/>
    <mergeCell ref="B37:F41"/>
    <mergeCell ref="G37:K41"/>
    <mergeCell ref="M30:O30"/>
    <mergeCell ref="P30:R30"/>
    <mergeCell ref="G26:K30"/>
    <mergeCell ref="M27:O27"/>
    <mergeCell ref="P27:R27"/>
    <mergeCell ref="M28:O28"/>
    <mergeCell ref="P28:R28"/>
    <mergeCell ref="M29:O29"/>
    <mergeCell ref="P29:R29"/>
    <mergeCell ref="M40:O40"/>
    <mergeCell ref="P40:R40"/>
    <mergeCell ref="P41:R41"/>
    <mergeCell ref="G5:K5"/>
    <mergeCell ref="G6:K10"/>
    <mergeCell ref="G11:K15"/>
    <mergeCell ref="G16:K20"/>
    <mergeCell ref="G21:K25"/>
    <mergeCell ref="M24:O24"/>
    <mergeCell ref="P24:R24"/>
    <mergeCell ref="M25:O25"/>
    <mergeCell ref="P25:R25"/>
    <mergeCell ref="M26:O26"/>
    <mergeCell ref="P26:R26"/>
    <mergeCell ref="M21:O21"/>
    <mergeCell ref="P21:R21"/>
    <mergeCell ref="M22:O22"/>
    <mergeCell ref="P22:R22"/>
    <mergeCell ref="M23:O23"/>
    <mergeCell ref="P23:R23"/>
    <mergeCell ref="M18:O18"/>
    <mergeCell ref="P18:R18"/>
    <mergeCell ref="M19:O19"/>
    <mergeCell ref="P19:R19"/>
    <mergeCell ref="M20:O20"/>
    <mergeCell ref="P20:R20"/>
    <mergeCell ref="M15:O15"/>
    <mergeCell ref="P15:R15"/>
    <mergeCell ref="M16:O16"/>
    <mergeCell ref="P16:R16"/>
    <mergeCell ref="M17:O17"/>
    <mergeCell ref="P17:R17"/>
    <mergeCell ref="P12:R12"/>
    <mergeCell ref="M13:O13"/>
    <mergeCell ref="P13:R13"/>
    <mergeCell ref="M14:O14"/>
    <mergeCell ref="P14:R14"/>
    <mergeCell ref="M38:O38"/>
    <mergeCell ref="P38:R38"/>
    <mergeCell ref="M39:O39"/>
    <mergeCell ref="P39:R39"/>
    <mergeCell ref="M37:O37"/>
    <mergeCell ref="P37:R37"/>
    <mergeCell ref="P6:R6"/>
    <mergeCell ref="L6:L10"/>
    <mergeCell ref="B36:F36"/>
    <mergeCell ref="G36:K36"/>
    <mergeCell ref="M36:O36"/>
    <mergeCell ref="M11:O11"/>
    <mergeCell ref="P11:R11"/>
    <mergeCell ref="B11:F15"/>
    <mergeCell ref="B16:F20"/>
    <mergeCell ref="B21:F25"/>
    <mergeCell ref="B26:F30"/>
    <mergeCell ref="L11:L15"/>
    <mergeCell ref="L16:L20"/>
    <mergeCell ref="L21:L25"/>
    <mergeCell ref="L26:L30"/>
    <mergeCell ref="M12:O12"/>
    <mergeCell ref="L37:L41"/>
    <mergeCell ref="B1:R1"/>
    <mergeCell ref="B3:R3"/>
    <mergeCell ref="B5:F5"/>
    <mergeCell ref="M5:O5"/>
    <mergeCell ref="P5:R5"/>
    <mergeCell ref="M9:O9"/>
    <mergeCell ref="P9:R9"/>
    <mergeCell ref="M10:O10"/>
    <mergeCell ref="P10:R10"/>
    <mergeCell ref="B6:F10"/>
    <mergeCell ref="M7:O7"/>
    <mergeCell ref="P7:R7"/>
    <mergeCell ref="M8:O8"/>
    <mergeCell ref="P8:R8"/>
    <mergeCell ref="M6:O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A5DD2-8902-47B1-BC5C-982B6C78F0AC}">
  <dimension ref="A1:T104"/>
  <sheetViews>
    <sheetView rightToLeft="1" workbookViewId="0">
      <selection activeCell="G6" sqref="G6"/>
    </sheetView>
  </sheetViews>
  <sheetFormatPr defaultColWidth="0" defaultRowHeight="0" customHeight="1" zeroHeight="1" x14ac:dyDescent="0.2"/>
  <cols>
    <col min="1" max="1" width="4" style="24" customWidth="1"/>
    <col min="2" max="2" width="21.5703125" style="24" customWidth="1"/>
    <col min="3" max="3" width="43.7109375" style="24" customWidth="1"/>
    <col min="4" max="5" width="10.28515625" style="24" customWidth="1"/>
    <col min="6" max="6" width="41.140625" style="24" customWidth="1"/>
    <col min="7" max="8" width="10.28515625" style="24" customWidth="1"/>
    <col min="9" max="9" width="10.28515625" style="24" hidden="1" customWidth="1"/>
    <col min="10" max="10" width="3.7109375" style="24" customWidth="1"/>
    <col min="11" max="11" width="0" style="23" hidden="1" customWidth="1"/>
    <col min="12" max="16384" width="10.28515625" style="23" hidden="1"/>
  </cols>
  <sheetData>
    <row r="1" spans="1:20" s="4" customFormat="1" ht="44.25" customHeight="1" x14ac:dyDescent="0.25">
      <c r="B1" s="85" t="s">
        <v>72</v>
      </c>
      <c r="C1" s="85"/>
      <c r="D1" s="85"/>
      <c r="E1" s="85"/>
      <c r="F1" s="85"/>
      <c r="G1" s="85"/>
      <c r="H1" s="85"/>
      <c r="I1" s="85"/>
      <c r="J1" s="85"/>
      <c r="K1" s="85"/>
      <c r="L1" s="85"/>
      <c r="M1" s="85"/>
      <c r="N1" s="85"/>
      <c r="O1" s="85"/>
      <c r="P1" s="85"/>
      <c r="Q1" s="85"/>
    </row>
    <row r="2" spans="1:20" customFormat="1" ht="15" x14ac:dyDescent="0.25">
      <c r="A2" s="4"/>
      <c r="B2" s="1"/>
      <c r="C2" s="1"/>
      <c r="D2" s="1"/>
      <c r="E2" s="1"/>
      <c r="F2" s="1"/>
      <c r="G2" s="1"/>
      <c r="H2" s="1"/>
      <c r="I2" s="1"/>
      <c r="J2" s="4"/>
      <c r="K2" s="1"/>
      <c r="L2" s="1"/>
      <c r="M2" s="1"/>
      <c r="N2" s="1"/>
      <c r="O2" s="1"/>
      <c r="P2" s="1"/>
      <c r="Q2" s="1"/>
      <c r="R2" s="4"/>
      <c r="S2" s="4"/>
      <c r="T2" s="4"/>
    </row>
    <row r="3" spans="1:20" ht="14.25" x14ac:dyDescent="0.2"/>
    <row r="4" spans="1:20" ht="44.25" customHeight="1" x14ac:dyDescent="0.2">
      <c r="B4" s="47" t="s">
        <v>17</v>
      </c>
      <c r="C4" s="47" t="s">
        <v>15</v>
      </c>
      <c r="D4" s="48" t="s">
        <v>69</v>
      </c>
      <c r="E4" s="48" t="s">
        <v>68</v>
      </c>
    </row>
    <row r="5" spans="1:20" ht="14.25" customHeight="1" x14ac:dyDescent="0.2">
      <c r="B5" s="144" t="s">
        <v>25</v>
      </c>
      <c r="C5" s="12" t="s">
        <v>27</v>
      </c>
      <c r="D5" s="26">
        <v>1</v>
      </c>
      <c r="E5" s="147">
        <v>0.2</v>
      </c>
      <c r="I5" s="24" t="str">
        <f>C5</f>
        <v>פרט בודד</v>
      </c>
    </row>
    <row r="6" spans="1:20" ht="14.25" customHeight="1" x14ac:dyDescent="0.2">
      <c r="B6" s="145"/>
      <c r="C6" s="12" t="s">
        <v>28</v>
      </c>
      <c r="D6" s="26">
        <v>2</v>
      </c>
      <c r="E6" s="148"/>
      <c r="I6" s="24" t="str">
        <f t="shared" ref="I6:I39" si="0">C6</f>
        <v>התארגנות של פרטים בודדים</v>
      </c>
    </row>
    <row r="7" spans="1:20" ht="14.25" customHeight="1" x14ac:dyDescent="0.2">
      <c r="B7" s="145"/>
      <c r="C7" s="12" t="s">
        <v>29</v>
      </c>
      <c r="D7" s="26">
        <v>3</v>
      </c>
      <c r="E7" s="148"/>
      <c r="I7" s="24" t="str">
        <f t="shared" si="0"/>
        <v xml:space="preserve">ארגון בודד </v>
      </c>
    </row>
    <row r="8" spans="1:20" ht="14.25" customHeight="1" x14ac:dyDescent="0.2">
      <c r="B8" s="145"/>
      <c r="C8" s="12" t="s">
        <v>30</v>
      </c>
      <c r="D8" s="26">
        <v>4</v>
      </c>
      <c r="E8" s="148"/>
      <c r="I8" s="24" t="str">
        <f t="shared" si="0"/>
        <v>התארגנות של מספר ארגונים</v>
      </c>
    </row>
    <row r="9" spans="1:20" s="24" customFormat="1" ht="14.25" customHeight="1" x14ac:dyDescent="0.2">
      <c r="B9" s="146"/>
      <c r="C9" s="13" t="s">
        <v>31</v>
      </c>
      <c r="D9" s="15">
        <v>5</v>
      </c>
      <c r="E9" s="149"/>
      <c r="I9" s="24" t="str">
        <f t="shared" si="0"/>
        <v>רמת מדינה/מעצמה</v>
      </c>
    </row>
    <row r="10" spans="1:20" ht="14.25" customHeight="1" x14ac:dyDescent="0.2">
      <c r="B10" s="144" t="s">
        <v>62</v>
      </c>
      <c r="C10" s="12" t="s">
        <v>32</v>
      </c>
      <c r="D10" s="26">
        <v>1</v>
      </c>
      <c r="E10" s="147">
        <v>0.25</v>
      </c>
      <c r="I10" s="24" t="str">
        <f t="shared" si="0"/>
        <v xml:space="preserve">פרסום עצמי </v>
      </c>
    </row>
    <row r="11" spans="1:20" ht="14.25" customHeight="1" x14ac:dyDescent="0.2">
      <c r="B11" s="145"/>
      <c r="C11" s="12" t="s">
        <v>33</v>
      </c>
      <c r="D11" s="26">
        <v>2</v>
      </c>
      <c r="E11" s="148"/>
      <c r="I11" s="24" t="str">
        <f t="shared" si="0"/>
        <v xml:space="preserve">איסוף מודיעין </v>
      </c>
    </row>
    <row r="12" spans="1:20" ht="14.25" customHeight="1" x14ac:dyDescent="0.2">
      <c r="B12" s="145"/>
      <c r="C12" s="12" t="s">
        <v>34</v>
      </c>
      <c r="D12" s="26">
        <v>3</v>
      </c>
      <c r="E12" s="148"/>
      <c r="I12" s="24" t="str">
        <f t="shared" si="0"/>
        <v xml:space="preserve">רווח כספי </v>
      </c>
    </row>
    <row r="13" spans="1:20" ht="14.25" customHeight="1" x14ac:dyDescent="0.2">
      <c r="B13" s="145"/>
      <c r="C13" s="12" t="s">
        <v>35</v>
      </c>
      <c r="D13" s="26">
        <v>4</v>
      </c>
      <c r="E13" s="148"/>
      <c r="I13" s="24" t="str">
        <f t="shared" si="0"/>
        <v xml:space="preserve">פגיעה בהתנהלות השוטפת </v>
      </c>
    </row>
    <row r="14" spans="1:20" s="24" customFormat="1" ht="14.25" customHeight="1" x14ac:dyDescent="0.2">
      <c r="B14" s="146"/>
      <c r="C14" s="13" t="s">
        <v>36</v>
      </c>
      <c r="D14" s="15">
        <v>5</v>
      </c>
      <c r="E14" s="149"/>
      <c r="I14" s="24" t="str">
        <f t="shared" si="0"/>
        <v xml:space="preserve">פגיעה בתשתיות/אזרחים </v>
      </c>
    </row>
    <row r="15" spans="1:20" ht="14.25" customHeight="1" x14ac:dyDescent="0.2">
      <c r="B15" s="144" t="s">
        <v>63</v>
      </c>
      <c r="C15" s="13" t="s">
        <v>37</v>
      </c>
      <c r="D15" s="26">
        <v>1</v>
      </c>
      <c r="E15" s="147">
        <v>0.05</v>
      </c>
      <c r="I15" s="24" t="str">
        <f t="shared" si="0"/>
        <v>סקרנות ושעמום</v>
      </c>
    </row>
    <row r="16" spans="1:20" s="24" customFormat="1" ht="14.25" customHeight="1" x14ac:dyDescent="0.2">
      <c r="B16" s="145"/>
      <c r="C16" s="14" t="s">
        <v>38</v>
      </c>
      <c r="D16" s="26">
        <v>2</v>
      </c>
      <c r="E16" s="148"/>
      <c r="I16" s="24" t="str">
        <f t="shared" si="0"/>
        <v>קידום אג'נדה</v>
      </c>
    </row>
    <row r="17" spans="2:9" s="24" customFormat="1" ht="14.25" customHeight="1" x14ac:dyDescent="0.2">
      <c r="B17" s="145"/>
      <c r="C17" s="13" t="s">
        <v>39</v>
      </c>
      <c r="D17" s="26">
        <v>3</v>
      </c>
      <c r="E17" s="148"/>
      <c r="I17" s="24" t="str">
        <f t="shared" si="0"/>
        <v xml:space="preserve">האדרת התוקף </v>
      </c>
    </row>
    <row r="18" spans="2:9" s="24" customFormat="1" ht="14.25" customHeight="1" x14ac:dyDescent="0.2">
      <c r="B18" s="145"/>
      <c r="C18" s="13" t="s">
        <v>40</v>
      </c>
      <c r="D18" s="26">
        <v>4</v>
      </c>
      <c r="E18" s="148"/>
      <c r="I18" s="24" t="str">
        <f t="shared" si="0"/>
        <v xml:space="preserve">ריגול תעשייתי </v>
      </c>
    </row>
    <row r="19" spans="2:9" s="24" customFormat="1" ht="14.25" customHeight="1" x14ac:dyDescent="0.2">
      <c r="B19" s="146"/>
      <c r="C19" s="13" t="s">
        <v>41</v>
      </c>
      <c r="D19" s="15">
        <v>5</v>
      </c>
      <c r="E19" s="149"/>
      <c r="I19" s="24" t="str">
        <f t="shared" si="0"/>
        <v xml:space="preserve">פיננסי </v>
      </c>
    </row>
    <row r="20" spans="2:9" s="24" customFormat="1" ht="14.25" customHeight="1" x14ac:dyDescent="0.2">
      <c r="B20" s="144" t="s">
        <v>64</v>
      </c>
      <c r="C20" s="12" t="s">
        <v>42</v>
      </c>
      <c r="D20" s="26">
        <v>1</v>
      </c>
      <c r="E20" s="147">
        <v>0.15</v>
      </c>
      <c r="I20" s="24" t="str">
        <f t="shared" si="0"/>
        <v xml:space="preserve">אין ידע מוקדם </v>
      </c>
    </row>
    <row r="21" spans="2:9" s="24" customFormat="1" ht="14.25" customHeight="1" x14ac:dyDescent="0.2">
      <c r="B21" s="145"/>
      <c r="C21" s="12" t="s">
        <v>43</v>
      </c>
      <c r="D21" s="26">
        <v>2</v>
      </c>
      <c r="E21" s="148"/>
      <c r="I21" s="24" t="str">
        <f t="shared" si="0"/>
        <v>ידע ברמה נמוכה-בינונית</v>
      </c>
    </row>
    <row r="22" spans="2:9" s="24" customFormat="1" ht="14.25" customHeight="1" x14ac:dyDescent="0.2">
      <c r="B22" s="145"/>
      <c r="C22" s="12" t="s">
        <v>44</v>
      </c>
      <c r="D22" s="26">
        <v>3</v>
      </c>
      <c r="E22" s="148"/>
      <c r="I22" s="24" t="str">
        <f t="shared" si="0"/>
        <v>ידע ברמה בינונית</v>
      </c>
    </row>
    <row r="23" spans="2:9" s="24" customFormat="1" ht="14.25" customHeight="1" x14ac:dyDescent="0.2">
      <c r="B23" s="145"/>
      <c r="C23" s="12" t="s">
        <v>45</v>
      </c>
      <c r="D23" s="26">
        <v>4</v>
      </c>
      <c r="E23" s="148"/>
      <c r="I23" s="24" t="str">
        <f t="shared" si="0"/>
        <v>ידע ברמה בינונית-גבוהה</v>
      </c>
    </row>
    <row r="24" spans="2:9" s="24" customFormat="1" ht="14.25" customHeight="1" x14ac:dyDescent="0.2">
      <c r="B24" s="146"/>
      <c r="C24" s="13" t="s">
        <v>46</v>
      </c>
      <c r="D24" s="15">
        <v>5</v>
      </c>
      <c r="E24" s="149"/>
      <c r="I24" s="24" t="str">
        <f t="shared" si="0"/>
        <v xml:space="preserve">ידע ברמה גבוהה </v>
      </c>
    </row>
    <row r="25" spans="2:9" s="24" customFormat="1" ht="14.25" customHeight="1" x14ac:dyDescent="0.2">
      <c r="B25" s="144" t="s">
        <v>65</v>
      </c>
      <c r="C25" s="12" t="s">
        <v>47</v>
      </c>
      <c r="D25" s="26">
        <v>1</v>
      </c>
      <c r="E25" s="147">
        <v>0.15</v>
      </c>
      <c r="I25" s="24" t="str">
        <f t="shared" si="0"/>
        <v xml:space="preserve">אין משאבים ייעודיים </v>
      </c>
    </row>
    <row r="26" spans="2:9" s="24" customFormat="1" ht="14.25" customHeight="1" x14ac:dyDescent="0.2">
      <c r="B26" s="145"/>
      <c r="C26" s="12" t="s">
        <v>48</v>
      </c>
      <c r="D26" s="26">
        <v>2</v>
      </c>
      <c r="E26" s="148"/>
      <c r="I26" s="24" t="str">
        <f t="shared" si="0"/>
        <v xml:space="preserve">משאבים מוגבלים </v>
      </c>
    </row>
    <row r="27" spans="2:9" s="24" customFormat="1" ht="14.25" customHeight="1" x14ac:dyDescent="0.2">
      <c r="B27" s="145"/>
      <c r="C27" s="12" t="s">
        <v>49</v>
      </c>
      <c r="D27" s="26">
        <v>3</v>
      </c>
      <c r="E27" s="148"/>
      <c r="I27" s="24" t="str">
        <f t="shared" si="0"/>
        <v xml:space="preserve">כמות משאבים בינונית </v>
      </c>
    </row>
    <row r="28" spans="2:9" s="24" customFormat="1" ht="14.25" customHeight="1" x14ac:dyDescent="0.2">
      <c r="B28" s="145"/>
      <c r="C28" s="12" t="s">
        <v>50</v>
      </c>
      <c r="D28" s="26">
        <v>4</v>
      </c>
      <c r="E28" s="148"/>
      <c r="I28" s="24" t="str">
        <f t="shared" si="0"/>
        <v xml:space="preserve">משאבים רבים </v>
      </c>
    </row>
    <row r="29" spans="2:9" s="24" customFormat="1" ht="14.25" customHeight="1" x14ac:dyDescent="0.2">
      <c r="B29" s="146"/>
      <c r="C29" s="13" t="s">
        <v>51</v>
      </c>
      <c r="D29" s="15">
        <v>5</v>
      </c>
      <c r="E29" s="149"/>
      <c r="I29" s="24" t="str">
        <f t="shared" si="0"/>
        <v xml:space="preserve">משאבים בלתי מוגבלים </v>
      </c>
    </row>
    <row r="30" spans="2:9" s="24" customFormat="1" ht="14.25" customHeight="1" x14ac:dyDescent="0.2">
      <c r="B30" s="144" t="s">
        <v>66</v>
      </c>
      <c r="C30" s="12" t="s">
        <v>52</v>
      </c>
      <c r="D30" s="26">
        <v>1</v>
      </c>
      <c r="E30" s="147">
        <v>0.1</v>
      </c>
      <c r="I30" s="24" t="str">
        <f t="shared" si="0"/>
        <v xml:space="preserve">Script מוכן </v>
      </c>
    </row>
    <row r="31" spans="2:9" s="24" customFormat="1" ht="14.25" customHeight="1" x14ac:dyDescent="0.2">
      <c r="B31" s="145"/>
      <c r="C31" s="12" t="s">
        <v>53</v>
      </c>
      <c r="D31" s="26">
        <v>2</v>
      </c>
      <c r="E31" s="148"/>
      <c r="I31" s="24" t="str">
        <f t="shared" si="0"/>
        <v xml:space="preserve">נוזקות ידועות </v>
      </c>
    </row>
    <row r="32" spans="2:9" s="24" customFormat="1" ht="14.25" customHeight="1" x14ac:dyDescent="0.2">
      <c r="B32" s="145"/>
      <c r="C32" s="12" t="s">
        <v>54</v>
      </c>
      <c r="D32" s="26">
        <v>3</v>
      </c>
      <c r="E32" s="148"/>
      <c r="I32" s="24" t="str">
        <f t="shared" si="0"/>
        <v xml:space="preserve">Script בפיתוח עצמי </v>
      </c>
    </row>
    <row r="33" spans="2:10" s="24" customFormat="1" ht="14.25" customHeight="1" x14ac:dyDescent="0.2">
      <c r="B33" s="145"/>
      <c r="C33" s="12" t="s">
        <v>55</v>
      </c>
      <c r="D33" s="26">
        <v>4</v>
      </c>
      <c r="E33" s="148"/>
      <c r="I33" s="24" t="str">
        <f t="shared" si="0"/>
        <v xml:space="preserve">נוזקות בפיתוח עצמי </v>
      </c>
    </row>
    <row r="34" spans="2:10" s="24" customFormat="1" ht="14.25" x14ac:dyDescent="0.2">
      <c r="B34" s="146"/>
      <c r="C34" s="13" t="s">
        <v>56</v>
      </c>
      <c r="D34" s="15">
        <v>5</v>
      </c>
      <c r="E34" s="149"/>
      <c r="I34" s="24" t="str">
        <f t="shared" si="0"/>
        <v xml:space="preserve">כלי האקינג מורכב </v>
      </c>
    </row>
    <row r="35" spans="2:10" s="24" customFormat="1" ht="14.25" customHeight="1" x14ac:dyDescent="0.2">
      <c r="B35" s="144" t="s">
        <v>67</v>
      </c>
      <c r="C35" s="12" t="s">
        <v>57</v>
      </c>
      <c r="D35" s="26">
        <v>1</v>
      </c>
      <c r="E35" s="147">
        <v>0.1</v>
      </c>
      <c r="I35" s="24" t="str">
        <f t="shared" si="0"/>
        <v xml:space="preserve">אין חשיפה מוקדמת </v>
      </c>
    </row>
    <row r="36" spans="2:10" s="24" customFormat="1" ht="14.25" customHeight="1" x14ac:dyDescent="0.2">
      <c r="B36" s="145"/>
      <c r="C36" s="12" t="s">
        <v>58</v>
      </c>
      <c r="D36" s="26">
        <v>2</v>
      </c>
      <c r="E36" s="148"/>
      <c r="I36" s="24" t="str">
        <f t="shared" si="0"/>
        <v xml:space="preserve">אין חשיפה, אך יש היכרות עם הסביבה הטכנולוגית </v>
      </c>
    </row>
    <row r="37" spans="2:10" s="24" customFormat="1" ht="14.25" customHeight="1" x14ac:dyDescent="0.2">
      <c r="B37" s="145"/>
      <c r="C37" s="12" t="s">
        <v>59</v>
      </c>
      <c r="D37" s="26">
        <v>3</v>
      </c>
      <c r="E37" s="148"/>
      <c r="I37" s="24" t="str">
        <f t="shared" si="0"/>
        <v xml:space="preserve">אין חשיפה, אך יש זמינות של מומחי תוכן </v>
      </c>
    </row>
    <row r="38" spans="2:10" s="24" customFormat="1" ht="14.25" customHeight="1" x14ac:dyDescent="0.2">
      <c r="B38" s="145"/>
      <c r="C38" s="12" t="s">
        <v>60</v>
      </c>
      <c r="D38" s="26">
        <v>4</v>
      </c>
      <c r="E38" s="148"/>
      <c r="I38" s="24" t="str">
        <f t="shared" si="0"/>
        <v xml:space="preserve">חשיפה חלקית למשאבים מוגבלים </v>
      </c>
    </row>
    <row r="39" spans="2:10" s="24" customFormat="1" ht="14.25" customHeight="1" x14ac:dyDescent="0.2">
      <c r="B39" s="146"/>
      <c r="C39" s="13" t="s">
        <v>61</v>
      </c>
      <c r="D39" s="15">
        <v>5</v>
      </c>
      <c r="E39" s="149"/>
      <c r="I39" s="24" t="str">
        <f t="shared" si="0"/>
        <v xml:space="preserve">חשיפה מלאה ויכולת גישה מלאה </v>
      </c>
    </row>
    <row r="40" spans="2:10" s="24" customFormat="1" ht="14.25" hidden="1" x14ac:dyDescent="0.2"/>
    <row r="41" spans="2:10" s="24" customFormat="1" ht="14.25" hidden="1" x14ac:dyDescent="0.2"/>
    <row r="42" spans="2:10" s="24" customFormat="1" ht="14.25" hidden="1" x14ac:dyDescent="0.2"/>
    <row r="43" spans="2:10" s="24" customFormat="1" ht="14.25" hidden="1" x14ac:dyDescent="0.2"/>
    <row r="44" spans="2:10" s="24" customFormat="1" ht="14.25" hidden="1" x14ac:dyDescent="0.2"/>
    <row r="45" spans="2:10" s="24" customFormat="1" ht="14.25" hidden="1" x14ac:dyDescent="0.2"/>
    <row r="46" spans="2:10" s="24" customFormat="1" ht="14.25" hidden="1" x14ac:dyDescent="0.2"/>
    <row r="47" spans="2:10" s="24" customFormat="1" ht="14.25" hidden="1" x14ac:dyDescent="0.2"/>
    <row r="48" spans="2:10" ht="14.25" hidden="1" x14ac:dyDescent="0.2">
      <c r="C48" s="23"/>
      <c r="D48" s="23"/>
      <c r="E48" s="23"/>
      <c r="F48" s="23"/>
      <c r="G48" s="23"/>
      <c r="H48" s="23"/>
      <c r="I48" s="23"/>
      <c r="J48" s="23"/>
    </row>
    <row r="49" spans="2:10" ht="14.25" hidden="1" x14ac:dyDescent="0.2">
      <c r="C49" s="23"/>
      <c r="D49" s="23"/>
      <c r="E49" s="23"/>
      <c r="F49" s="23"/>
      <c r="G49" s="23"/>
      <c r="H49" s="23"/>
      <c r="I49" s="23"/>
      <c r="J49" s="23"/>
    </row>
    <row r="50" spans="2:10" ht="14.25" hidden="1" x14ac:dyDescent="0.2">
      <c r="C50" s="23"/>
      <c r="D50" s="23"/>
      <c r="E50" s="23"/>
      <c r="F50" s="23"/>
      <c r="G50" s="23"/>
      <c r="H50" s="23"/>
      <c r="I50" s="23"/>
      <c r="J50" s="23"/>
    </row>
    <row r="51" spans="2:10" ht="0" hidden="1" customHeight="1" x14ac:dyDescent="0.2">
      <c r="B51" s="23"/>
      <c r="C51" s="23"/>
      <c r="D51" s="23"/>
      <c r="E51" s="23"/>
      <c r="F51" s="23"/>
      <c r="G51" s="23"/>
      <c r="H51" s="23"/>
      <c r="I51" s="23"/>
      <c r="J51" s="23"/>
    </row>
    <row r="52" spans="2:10" ht="0" hidden="1" customHeight="1" x14ac:dyDescent="0.2">
      <c r="B52" s="23"/>
      <c r="C52" s="23"/>
      <c r="D52" s="23"/>
      <c r="E52" s="23"/>
      <c r="F52" s="23"/>
      <c r="G52" s="23"/>
      <c r="H52" s="23"/>
      <c r="I52" s="23"/>
      <c r="J52" s="23"/>
    </row>
    <row r="53" spans="2:10" ht="0" hidden="1" customHeight="1" x14ac:dyDescent="0.2">
      <c r="B53" s="23"/>
      <c r="C53" s="23"/>
      <c r="D53" s="23"/>
      <c r="E53" s="23"/>
      <c r="F53" s="23"/>
      <c r="G53" s="23"/>
      <c r="H53" s="23"/>
      <c r="I53" s="23"/>
      <c r="J53" s="23"/>
    </row>
    <row r="54" spans="2:10" ht="0" hidden="1" customHeight="1" x14ac:dyDescent="0.2">
      <c r="B54" s="23"/>
      <c r="C54" s="23"/>
      <c r="D54" s="23"/>
      <c r="E54" s="23"/>
      <c r="F54" s="23"/>
      <c r="G54" s="23"/>
      <c r="H54" s="23"/>
      <c r="I54" s="23"/>
      <c r="J54" s="23"/>
    </row>
    <row r="55" spans="2:10" ht="0" hidden="1" customHeight="1" x14ac:dyDescent="0.2">
      <c r="B55" s="23"/>
      <c r="C55" s="23"/>
      <c r="D55" s="23"/>
      <c r="E55" s="23"/>
      <c r="F55" s="23"/>
      <c r="G55" s="23"/>
      <c r="H55" s="23"/>
      <c r="I55" s="23"/>
      <c r="J55" s="23"/>
    </row>
    <row r="56" spans="2:10" s="24" customFormat="1" ht="14.25" customHeight="1" x14ac:dyDescent="0.25">
      <c r="E56" s="55">
        <f>SUM(E5:E39)</f>
        <v>1</v>
      </c>
    </row>
    <row r="57" spans="2:10" s="24" customFormat="1" ht="14.25" customHeight="1" x14ac:dyDescent="0.2"/>
    <row r="58" spans="2:10" s="24" customFormat="1" ht="14.25" customHeight="1" x14ac:dyDescent="0.25">
      <c r="B58" s="25" t="s">
        <v>73</v>
      </c>
    </row>
    <row r="59" spans="2:10" s="24" customFormat="1" ht="7.5" customHeight="1" x14ac:dyDescent="0.2"/>
    <row r="60" spans="2:10" ht="14.25" customHeight="1" x14ac:dyDescent="0.2">
      <c r="B60" s="153" t="s">
        <v>74</v>
      </c>
      <c r="C60" s="49" t="s">
        <v>17</v>
      </c>
      <c r="D60" s="47" t="s">
        <v>68</v>
      </c>
      <c r="E60" s="48" t="s">
        <v>69</v>
      </c>
      <c r="F60" s="48" t="s">
        <v>15</v>
      </c>
      <c r="G60" s="50" t="s">
        <v>70</v>
      </c>
    </row>
    <row r="61" spans="2:10" ht="14.25" customHeight="1" x14ac:dyDescent="0.25">
      <c r="B61" s="154"/>
      <c r="C61" s="27" t="s">
        <v>25</v>
      </c>
      <c r="D61" s="17">
        <f>E5</f>
        <v>0.2</v>
      </c>
      <c r="E61" s="18">
        <v>2</v>
      </c>
      <c r="F61" s="18" t="s">
        <v>28</v>
      </c>
      <c r="G61" s="19">
        <f t="shared" ref="G61:G67" si="1">E61*D61</f>
        <v>0.4</v>
      </c>
    </row>
    <row r="62" spans="2:10" ht="14.25" customHeight="1" x14ac:dyDescent="0.25">
      <c r="B62" s="154"/>
      <c r="C62" s="27" t="s">
        <v>62</v>
      </c>
      <c r="D62" s="17">
        <f>E10</f>
        <v>0.25</v>
      </c>
      <c r="E62" s="18">
        <v>3</v>
      </c>
      <c r="F62" s="18" t="s">
        <v>34</v>
      </c>
      <c r="G62" s="19">
        <f t="shared" si="1"/>
        <v>0.75</v>
      </c>
    </row>
    <row r="63" spans="2:10" s="24" customFormat="1" ht="14.25" customHeight="1" x14ac:dyDescent="0.25">
      <c r="B63" s="154"/>
      <c r="C63" s="27" t="s">
        <v>63</v>
      </c>
      <c r="D63" s="17">
        <f>E15</f>
        <v>0.05</v>
      </c>
      <c r="E63" s="18">
        <v>5</v>
      </c>
      <c r="F63" s="18" t="s">
        <v>41</v>
      </c>
      <c r="G63" s="19">
        <f t="shared" si="1"/>
        <v>0.25</v>
      </c>
    </row>
    <row r="64" spans="2:10" s="24" customFormat="1" ht="14.25" customHeight="1" x14ac:dyDescent="0.25">
      <c r="B64" s="154"/>
      <c r="C64" s="27" t="s">
        <v>64</v>
      </c>
      <c r="D64" s="17">
        <f>E20</f>
        <v>0.15</v>
      </c>
      <c r="E64" s="18">
        <v>4</v>
      </c>
      <c r="F64" s="18" t="s">
        <v>45</v>
      </c>
      <c r="G64" s="19">
        <f t="shared" si="1"/>
        <v>0.6</v>
      </c>
    </row>
    <row r="65" spans="2:7" s="24" customFormat="1" ht="14.25" customHeight="1" x14ac:dyDescent="0.25">
      <c r="B65" s="154"/>
      <c r="C65" s="27" t="s">
        <v>65</v>
      </c>
      <c r="D65" s="17">
        <f>E25</f>
        <v>0.15</v>
      </c>
      <c r="E65" s="18">
        <v>2</v>
      </c>
      <c r="F65" s="18" t="s">
        <v>48</v>
      </c>
      <c r="G65" s="19">
        <f t="shared" si="1"/>
        <v>0.3</v>
      </c>
    </row>
    <row r="66" spans="2:7" s="24" customFormat="1" ht="14.25" customHeight="1" x14ac:dyDescent="0.25">
      <c r="B66" s="154"/>
      <c r="C66" s="27" t="s">
        <v>66</v>
      </c>
      <c r="D66" s="17">
        <f>E30</f>
        <v>0.1</v>
      </c>
      <c r="E66" s="18">
        <v>3</v>
      </c>
      <c r="F66" s="18" t="s">
        <v>54</v>
      </c>
      <c r="G66" s="19">
        <f t="shared" si="1"/>
        <v>0.30000000000000004</v>
      </c>
    </row>
    <row r="67" spans="2:7" s="24" customFormat="1" ht="14.25" customHeight="1" x14ac:dyDescent="0.25">
      <c r="B67" s="154"/>
      <c r="C67" s="27" t="s">
        <v>67</v>
      </c>
      <c r="D67" s="17">
        <f>E35</f>
        <v>0.1</v>
      </c>
      <c r="E67" s="18">
        <v>5</v>
      </c>
      <c r="F67" s="18" t="s">
        <v>61</v>
      </c>
      <c r="G67" s="19">
        <f t="shared" si="1"/>
        <v>0.5</v>
      </c>
    </row>
    <row r="68" spans="2:7" s="24" customFormat="1" ht="14.25" customHeight="1" thickBot="1" x14ac:dyDescent="0.3">
      <c r="B68" s="155"/>
      <c r="C68" s="28" t="s">
        <v>71</v>
      </c>
      <c r="D68" s="21">
        <f>SUM(D61:D67)</f>
        <v>1</v>
      </c>
      <c r="E68" s="22"/>
      <c r="F68" s="22"/>
      <c r="G68" s="57">
        <f>SUM(G61:G67)</f>
        <v>3.0999999999999996</v>
      </c>
    </row>
    <row r="69" spans="2:7" s="24" customFormat="1" ht="14.25" customHeight="1" x14ac:dyDescent="0.2"/>
    <row r="70" spans="2:7" s="24" customFormat="1" ht="14.25" customHeight="1" x14ac:dyDescent="0.2">
      <c r="B70" s="150" t="s">
        <v>86</v>
      </c>
      <c r="C70" s="49" t="s">
        <v>17</v>
      </c>
      <c r="D70" s="47" t="s">
        <v>68</v>
      </c>
      <c r="E70" s="48" t="s">
        <v>69</v>
      </c>
      <c r="F70" s="48" t="s">
        <v>15</v>
      </c>
      <c r="G70" s="50" t="s">
        <v>70</v>
      </c>
    </row>
    <row r="71" spans="2:7" s="24" customFormat="1" ht="14.25" customHeight="1" x14ac:dyDescent="0.25">
      <c r="B71" s="151"/>
      <c r="C71" s="16" t="s">
        <v>25</v>
      </c>
      <c r="D71" s="17">
        <f t="shared" ref="D71:D78" si="2">D61</f>
        <v>0.2</v>
      </c>
      <c r="E71" s="51"/>
      <c r="F71" s="61" t="e">
        <f>VLOOKUP(E71,$D$5:$J$9,6)</f>
        <v>#N/A</v>
      </c>
      <c r="G71" s="19">
        <f t="shared" ref="G71:G77" si="3">E71*D71</f>
        <v>0</v>
      </c>
    </row>
    <row r="72" spans="2:7" s="24" customFormat="1" ht="14.25" customHeight="1" x14ac:dyDescent="0.25">
      <c r="B72" s="151"/>
      <c r="C72" s="16" t="s">
        <v>62</v>
      </c>
      <c r="D72" s="17">
        <f t="shared" si="2"/>
        <v>0.25</v>
      </c>
      <c r="E72" s="51"/>
      <c r="F72" s="61" t="e">
        <f>VLOOKUP(E72,$D$10:$J$14,6)</f>
        <v>#N/A</v>
      </c>
      <c r="G72" s="19">
        <f t="shared" si="3"/>
        <v>0</v>
      </c>
    </row>
    <row r="73" spans="2:7" s="24" customFormat="1" ht="14.25" customHeight="1" x14ac:dyDescent="0.25">
      <c r="B73" s="151"/>
      <c r="C73" s="16" t="s">
        <v>63</v>
      </c>
      <c r="D73" s="17">
        <f t="shared" si="2"/>
        <v>0.05</v>
      </c>
      <c r="E73" s="51"/>
      <c r="F73" s="61" t="e">
        <f>VLOOKUP(E73,D15:J19,6)</f>
        <v>#N/A</v>
      </c>
      <c r="G73" s="19">
        <f t="shared" si="3"/>
        <v>0</v>
      </c>
    </row>
    <row r="74" spans="2:7" s="24" customFormat="1" ht="14.25" customHeight="1" x14ac:dyDescent="0.25">
      <c r="B74" s="151"/>
      <c r="C74" s="16" t="s">
        <v>64</v>
      </c>
      <c r="D74" s="17">
        <f t="shared" si="2"/>
        <v>0.15</v>
      </c>
      <c r="E74" s="51"/>
      <c r="F74" s="61" t="e">
        <f>VLOOKUP(E74,$D$20:$J$24,6)</f>
        <v>#N/A</v>
      </c>
      <c r="G74" s="19">
        <f t="shared" si="3"/>
        <v>0</v>
      </c>
    </row>
    <row r="75" spans="2:7" s="24" customFormat="1" ht="14.25" customHeight="1" x14ac:dyDescent="0.25">
      <c r="B75" s="151"/>
      <c r="C75" s="16" t="s">
        <v>65</v>
      </c>
      <c r="D75" s="17">
        <f t="shared" si="2"/>
        <v>0.15</v>
      </c>
      <c r="E75" s="51"/>
      <c r="F75" s="61" t="e">
        <f>VLOOKUP(E75,D25:J29,6)</f>
        <v>#N/A</v>
      </c>
      <c r="G75" s="19">
        <f t="shared" si="3"/>
        <v>0</v>
      </c>
    </row>
    <row r="76" spans="2:7" s="24" customFormat="1" ht="14.25" customHeight="1" x14ac:dyDescent="0.25">
      <c r="B76" s="151"/>
      <c r="C76" s="16" t="s">
        <v>66</v>
      </c>
      <c r="D76" s="17">
        <f t="shared" si="2"/>
        <v>0.1</v>
      </c>
      <c r="E76" s="51"/>
      <c r="F76" s="61" t="e">
        <f>VLOOKUP(E76,$D$30:$J$34,6)</f>
        <v>#N/A</v>
      </c>
      <c r="G76" s="19">
        <f t="shared" si="3"/>
        <v>0</v>
      </c>
    </row>
    <row r="77" spans="2:7" s="24" customFormat="1" ht="14.25" customHeight="1" x14ac:dyDescent="0.25">
      <c r="B77" s="151"/>
      <c r="C77" s="16" t="s">
        <v>67</v>
      </c>
      <c r="D77" s="17">
        <f t="shared" si="2"/>
        <v>0.1</v>
      </c>
      <c r="E77" s="51"/>
      <c r="F77" s="61" t="e">
        <f>VLOOKUP(E77,D35:J39,6)</f>
        <v>#N/A</v>
      </c>
      <c r="G77" s="19">
        <f t="shared" si="3"/>
        <v>0</v>
      </c>
    </row>
    <row r="78" spans="2:7" s="24" customFormat="1" ht="14.25" customHeight="1" thickBot="1" x14ac:dyDescent="0.3">
      <c r="B78" s="152"/>
      <c r="C78" s="20" t="s">
        <v>71</v>
      </c>
      <c r="D78" s="21">
        <f t="shared" si="2"/>
        <v>1</v>
      </c>
      <c r="E78" s="56"/>
      <c r="F78" s="22"/>
      <c r="G78" s="57">
        <f>SUM(G71:G77)</f>
        <v>0</v>
      </c>
    </row>
    <row r="79" spans="2:7" s="24" customFormat="1" ht="14.25" customHeight="1" x14ac:dyDescent="0.2">
      <c r="C79" s="23"/>
      <c r="D79" s="23"/>
      <c r="E79" s="23"/>
      <c r="F79" s="23"/>
      <c r="G79" s="23"/>
    </row>
    <row r="80" spans="2:7" s="24" customFormat="1" ht="14.25" customHeight="1" x14ac:dyDescent="0.2">
      <c r="B80" s="150" t="s">
        <v>86</v>
      </c>
      <c r="C80" s="49" t="s">
        <v>17</v>
      </c>
      <c r="D80" s="47" t="s">
        <v>68</v>
      </c>
      <c r="E80" s="48" t="s">
        <v>69</v>
      </c>
      <c r="F80" s="48" t="s">
        <v>15</v>
      </c>
      <c r="G80" s="50" t="s">
        <v>70</v>
      </c>
    </row>
    <row r="81" spans="2:7" s="24" customFormat="1" ht="14.25" customHeight="1" x14ac:dyDescent="0.25">
      <c r="B81" s="151"/>
      <c r="C81" s="16" t="s">
        <v>25</v>
      </c>
      <c r="D81" s="17">
        <f t="shared" ref="D81:D88" si="4">D61</f>
        <v>0.2</v>
      </c>
      <c r="E81" s="51"/>
      <c r="F81" s="61" t="e">
        <f>VLOOKUP(E81,$D$5:$J$9,6)</f>
        <v>#N/A</v>
      </c>
      <c r="G81" s="19">
        <f t="shared" ref="G81:G87" si="5">E81*D81</f>
        <v>0</v>
      </c>
    </row>
    <row r="82" spans="2:7" s="24" customFormat="1" ht="14.25" customHeight="1" x14ac:dyDescent="0.25">
      <c r="B82" s="151"/>
      <c r="C82" s="16" t="s">
        <v>62</v>
      </c>
      <c r="D82" s="17">
        <f t="shared" si="4"/>
        <v>0.25</v>
      </c>
      <c r="E82" s="51"/>
      <c r="F82" s="61" t="e">
        <f>VLOOKUP(E82,$D$10:$J$14,6)</f>
        <v>#N/A</v>
      </c>
      <c r="G82" s="19">
        <f t="shared" si="5"/>
        <v>0</v>
      </c>
    </row>
    <row r="83" spans="2:7" s="24" customFormat="1" ht="14.25" customHeight="1" x14ac:dyDescent="0.25">
      <c r="B83" s="151"/>
      <c r="C83" s="16" t="s">
        <v>63</v>
      </c>
      <c r="D83" s="17">
        <f t="shared" si="4"/>
        <v>0.05</v>
      </c>
      <c r="E83" s="51"/>
      <c r="F83" s="61" t="e">
        <f>VLOOKUP(E83,D15:J19,6)</f>
        <v>#N/A</v>
      </c>
      <c r="G83" s="19">
        <f t="shared" si="5"/>
        <v>0</v>
      </c>
    </row>
    <row r="84" spans="2:7" s="24" customFormat="1" ht="14.25" customHeight="1" x14ac:dyDescent="0.25">
      <c r="B84" s="151"/>
      <c r="C84" s="16" t="s">
        <v>64</v>
      </c>
      <c r="D84" s="17">
        <f t="shared" si="4"/>
        <v>0.15</v>
      </c>
      <c r="E84" s="51"/>
      <c r="F84" s="61" t="e">
        <f>VLOOKUP(E84,$D$20:$J$24,6)</f>
        <v>#N/A</v>
      </c>
      <c r="G84" s="19">
        <f t="shared" si="5"/>
        <v>0</v>
      </c>
    </row>
    <row r="85" spans="2:7" s="24" customFormat="1" ht="14.25" customHeight="1" x14ac:dyDescent="0.25">
      <c r="B85" s="151"/>
      <c r="C85" s="16" t="s">
        <v>65</v>
      </c>
      <c r="D85" s="17">
        <f t="shared" si="4"/>
        <v>0.15</v>
      </c>
      <c r="E85" s="51"/>
      <c r="F85" s="61" t="e">
        <f>VLOOKUP(E85,D25:J29,6)</f>
        <v>#N/A</v>
      </c>
      <c r="G85" s="19">
        <f t="shared" si="5"/>
        <v>0</v>
      </c>
    </row>
    <row r="86" spans="2:7" s="24" customFormat="1" ht="14.25" customHeight="1" x14ac:dyDescent="0.25">
      <c r="B86" s="151"/>
      <c r="C86" s="16" t="s">
        <v>66</v>
      </c>
      <c r="D86" s="17">
        <f t="shared" si="4"/>
        <v>0.1</v>
      </c>
      <c r="E86" s="51"/>
      <c r="F86" s="61" t="e">
        <f>VLOOKUP(E86,$D$30:$J$34,6)</f>
        <v>#N/A</v>
      </c>
      <c r="G86" s="19">
        <f t="shared" si="5"/>
        <v>0</v>
      </c>
    </row>
    <row r="87" spans="2:7" s="24" customFormat="1" ht="14.25" customHeight="1" x14ac:dyDescent="0.25">
      <c r="B87" s="151"/>
      <c r="C87" s="16" t="s">
        <v>67</v>
      </c>
      <c r="D87" s="17">
        <f t="shared" si="4"/>
        <v>0.1</v>
      </c>
      <c r="E87" s="51"/>
      <c r="F87" s="61" t="e">
        <f>VLOOKUP(E87,D35:J39,6)</f>
        <v>#N/A</v>
      </c>
      <c r="G87" s="19">
        <f t="shared" si="5"/>
        <v>0</v>
      </c>
    </row>
    <row r="88" spans="2:7" s="24" customFormat="1" ht="14.25" customHeight="1" thickBot="1" x14ac:dyDescent="0.3">
      <c r="B88" s="152"/>
      <c r="C88" s="20" t="s">
        <v>71</v>
      </c>
      <c r="D88" s="21">
        <f t="shared" si="4"/>
        <v>1</v>
      </c>
      <c r="E88" s="56"/>
      <c r="F88" s="22"/>
      <c r="G88" s="57">
        <f>SUM(G81:G87)</f>
        <v>0</v>
      </c>
    </row>
    <row r="89" spans="2:7" s="24" customFormat="1" ht="14.25" customHeight="1" x14ac:dyDescent="0.25">
      <c r="C89" s="29"/>
      <c r="D89" s="30"/>
      <c r="E89" s="31"/>
      <c r="F89" s="31"/>
      <c r="G89" s="31"/>
    </row>
    <row r="90" spans="2:7" s="24" customFormat="1" ht="14.25" customHeight="1" x14ac:dyDescent="0.2">
      <c r="B90" s="150" t="s">
        <v>86</v>
      </c>
      <c r="C90" s="49" t="s">
        <v>17</v>
      </c>
      <c r="D90" s="47" t="s">
        <v>68</v>
      </c>
      <c r="E90" s="48" t="s">
        <v>69</v>
      </c>
      <c r="F90" s="48" t="s">
        <v>15</v>
      </c>
      <c r="G90" s="50" t="s">
        <v>70</v>
      </c>
    </row>
    <row r="91" spans="2:7" s="24" customFormat="1" ht="14.25" customHeight="1" x14ac:dyDescent="0.25">
      <c r="B91" s="151"/>
      <c r="C91" s="16" t="s">
        <v>25</v>
      </c>
      <c r="D91" s="17">
        <f t="shared" ref="D91:D98" si="6">D61</f>
        <v>0.2</v>
      </c>
      <c r="E91" s="51"/>
      <c r="F91" s="61" t="e">
        <f>VLOOKUP(E91,$D$5:$J$9,6)</f>
        <v>#N/A</v>
      </c>
      <c r="G91" s="19">
        <f t="shared" ref="G91:G97" si="7">E91*D91</f>
        <v>0</v>
      </c>
    </row>
    <row r="92" spans="2:7" s="24" customFormat="1" ht="14.25" customHeight="1" x14ac:dyDescent="0.25">
      <c r="B92" s="151"/>
      <c r="C92" s="16" t="s">
        <v>62</v>
      </c>
      <c r="D92" s="17">
        <f t="shared" si="6"/>
        <v>0.25</v>
      </c>
      <c r="E92" s="51"/>
      <c r="F92" s="61" t="e">
        <f>VLOOKUP(E92,$D$10:$J$14,6)</f>
        <v>#N/A</v>
      </c>
      <c r="G92" s="19">
        <f t="shared" si="7"/>
        <v>0</v>
      </c>
    </row>
    <row r="93" spans="2:7" s="24" customFormat="1" ht="14.25" customHeight="1" x14ac:dyDescent="0.25">
      <c r="B93" s="151"/>
      <c r="C93" s="16" t="s">
        <v>63</v>
      </c>
      <c r="D93" s="17">
        <f t="shared" si="6"/>
        <v>0.05</v>
      </c>
      <c r="E93" s="51"/>
      <c r="F93" s="61" t="e">
        <f>VLOOKUP(E93,D15:J19,6)</f>
        <v>#N/A</v>
      </c>
      <c r="G93" s="19">
        <f t="shared" si="7"/>
        <v>0</v>
      </c>
    </row>
    <row r="94" spans="2:7" s="24" customFormat="1" ht="14.25" customHeight="1" x14ac:dyDescent="0.25">
      <c r="B94" s="151"/>
      <c r="C94" s="16" t="s">
        <v>64</v>
      </c>
      <c r="D94" s="17">
        <f t="shared" si="6"/>
        <v>0.15</v>
      </c>
      <c r="E94" s="51"/>
      <c r="F94" s="61" t="e">
        <f>VLOOKUP(E94,$D$20:$J$24,6)</f>
        <v>#N/A</v>
      </c>
      <c r="G94" s="19">
        <f t="shared" si="7"/>
        <v>0</v>
      </c>
    </row>
    <row r="95" spans="2:7" s="24" customFormat="1" ht="14.25" customHeight="1" x14ac:dyDescent="0.25">
      <c r="B95" s="151"/>
      <c r="C95" s="16" t="s">
        <v>65</v>
      </c>
      <c r="D95" s="17">
        <f t="shared" si="6"/>
        <v>0.15</v>
      </c>
      <c r="E95" s="51"/>
      <c r="F95" s="61" t="e">
        <f>VLOOKUP(E95,D25:J29,6)</f>
        <v>#N/A</v>
      </c>
      <c r="G95" s="19">
        <f t="shared" si="7"/>
        <v>0</v>
      </c>
    </row>
    <row r="96" spans="2:7" s="24" customFormat="1" ht="14.25" customHeight="1" x14ac:dyDescent="0.25">
      <c r="B96" s="151"/>
      <c r="C96" s="16" t="s">
        <v>66</v>
      </c>
      <c r="D96" s="17">
        <f t="shared" si="6"/>
        <v>0.1</v>
      </c>
      <c r="E96" s="51"/>
      <c r="F96" s="61" t="e">
        <f>VLOOKUP(E96,$D$30:$J$34,6)</f>
        <v>#N/A</v>
      </c>
      <c r="G96" s="19">
        <f t="shared" si="7"/>
        <v>0</v>
      </c>
    </row>
    <row r="97" spans="2:7" s="24" customFormat="1" ht="14.25" customHeight="1" x14ac:dyDescent="0.25">
      <c r="B97" s="151"/>
      <c r="C97" s="16" t="s">
        <v>67</v>
      </c>
      <c r="D97" s="17">
        <f t="shared" si="6"/>
        <v>0.1</v>
      </c>
      <c r="E97" s="51"/>
      <c r="F97" s="61" t="e">
        <f>VLOOKUP(E97,D35:J39,6)</f>
        <v>#N/A</v>
      </c>
      <c r="G97" s="19">
        <f t="shared" si="7"/>
        <v>0</v>
      </c>
    </row>
    <row r="98" spans="2:7" s="24" customFormat="1" ht="14.25" customHeight="1" thickBot="1" x14ac:dyDescent="0.3">
      <c r="B98" s="152"/>
      <c r="C98" s="20" t="s">
        <v>71</v>
      </c>
      <c r="D98" s="21">
        <f t="shared" si="6"/>
        <v>1</v>
      </c>
      <c r="E98" s="56"/>
      <c r="F98" s="22"/>
      <c r="G98" s="57">
        <f>SUM(G91:G97)</f>
        <v>0</v>
      </c>
    </row>
    <row r="99" spans="2:7" s="24" customFormat="1" ht="14.25" customHeight="1" x14ac:dyDescent="0.25">
      <c r="C99" s="29"/>
      <c r="D99" s="30"/>
      <c r="E99" s="32"/>
      <c r="F99" s="32"/>
      <c r="G99" s="32"/>
    </row>
    <row r="100" spans="2:7" s="24" customFormat="1" ht="14.25" customHeight="1" x14ac:dyDescent="0.2"/>
    <row r="101" spans="2:7" s="24" customFormat="1" ht="0" hidden="1" customHeight="1" x14ac:dyDescent="0.2"/>
    <row r="102" spans="2:7" s="24" customFormat="1" ht="0" hidden="1" customHeight="1" x14ac:dyDescent="0.2"/>
    <row r="103" spans="2:7" s="24" customFormat="1" ht="0" hidden="1" customHeight="1" x14ac:dyDescent="0.2"/>
    <row r="104" spans="2:7" s="24" customFormat="1" ht="0" hidden="1" customHeight="1" x14ac:dyDescent="0.2"/>
  </sheetData>
  <mergeCells count="19">
    <mergeCell ref="B15:B19"/>
    <mergeCell ref="E15:E19"/>
    <mergeCell ref="B90:B98"/>
    <mergeCell ref="B20:B24"/>
    <mergeCell ref="E20:E24"/>
    <mergeCell ref="B25:B29"/>
    <mergeCell ref="E25:E29"/>
    <mergeCell ref="B30:B34"/>
    <mergeCell ref="E30:E34"/>
    <mergeCell ref="B35:B39"/>
    <mergeCell ref="E35:E39"/>
    <mergeCell ref="B60:B68"/>
    <mergeCell ref="B70:B78"/>
    <mergeCell ref="B80:B88"/>
    <mergeCell ref="B1:Q1"/>
    <mergeCell ref="B5:B9"/>
    <mergeCell ref="E5:E9"/>
    <mergeCell ref="B10:B14"/>
    <mergeCell ref="E10:E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4D0C1-D052-4183-9C2E-8D0340ED544E}">
  <dimension ref="A1:T53"/>
  <sheetViews>
    <sheetView rightToLeft="1" topLeftCell="C1" zoomScale="175" zoomScaleNormal="175" workbookViewId="0">
      <selection activeCell="B1" sqref="B1:Q1"/>
    </sheetView>
  </sheetViews>
  <sheetFormatPr defaultColWidth="0" defaultRowHeight="0" customHeight="1" zeroHeight="1" x14ac:dyDescent="0.2"/>
  <cols>
    <col min="1" max="1" width="4" style="24" customWidth="1"/>
    <col min="2" max="2" width="34.85546875" style="24" customWidth="1"/>
    <col min="3" max="3" width="47.140625" style="24" customWidth="1"/>
    <col min="4" max="6" width="10.28515625" style="24" customWidth="1"/>
    <col min="7" max="7" width="4.42578125" style="24" customWidth="1"/>
    <col min="8" max="8" width="4.7109375" style="24" hidden="1" customWidth="1"/>
    <col min="9" max="10" width="10.28515625" style="24" hidden="1" customWidth="1"/>
    <col min="11" max="11" width="0" style="23" hidden="1" customWidth="1"/>
    <col min="12" max="20" width="10.28515625" style="23" hidden="1" customWidth="1"/>
    <col min="21" max="16384" width="0" style="23" hidden="1"/>
  </cols>
  <sheetData>
    <row r="1" spans="1:20" s="4" customFormat="1" ht="30.75" customHeight="1" x14ac:dyDescent="0.25">
      <c r="B1" s="85" t="s">
        <v>75</v>
      </c>
      <c r="C1" s="85"/>
      <c r="D1" s="85"/>
      <c r="E1" s="85"/>
      <c r="F1" s="85"/>
      <c r="G1" s="85"/>
      <c r="H1" s="85"/>
      <c r="I1" s="85"/>
      <c r="J1" s="85"/>
      <c r="K1" s="85"/>
      <c r="L1" s="85"/>
      <c r="M1" s="85"/>
      <c r="N1" s="85"/>
      <c r="O1" s="85"/>
      <c r="P1" s="85"/>
      <c r="Q1" s="85"/>
    </row>
    <row r="2" spans="1:20" customFormat="1" ht="12" customHeight="1" x14ac:dyDescent="0.25">
      <c r="A2" s="4"/>
      <c r="B2" s="1"/>
      <c r="C2" s="1"/>
      <c r="D2" s="1"/>
      <c r="E2" s="1"/>
      <c r="F2" s="1"/>
      <c r="G2" s="1"/>
      <c r="H2" s="4"/>
      <c r="I2" s="4"/>
      <c r="J2" s="4"/>
      <c r="K2" s="1"/>
      <c r="L2" s="1"/>
      <c r="M2" s="1"/>
      <c r="N2" s="1"/>
      <c r="O2" s="1"/>
      <c r="P2" s="1"/>
      <c r="Q2" s="1"/>
      <c r="R2" s="4"/>
      <c r="S2" s="4"/>
      <c r="T2" s="4"/>
    </row>
    <row r="3" spans="1:20" ht="12" customHeight="1" x14ac:dyDescent="0.2"/>
    <row r="4" spans="1:20" ht="12" customHeight="1" x14ac:dyDescent="0.25">
      <c r="B4" s="25" t="s">
        <v>9</v>
      </c>
    </row>
    <row r="5" spans="1:20" ht="12" customHeight="1" thickBot="1" x14ac:dyDescent="0.25"/>
    <row r="6" spans="1:20" ht="21.75" customHeight="1" thickBot="1" x14ac:dyDescent="0.3">
      <c r="B6" s="158" t="s">
        <v>76</v>
      </c>
      <c r="C6" s="159"/>
      <c r="D6" s="159"/>
      <c r="E6" s="159"/>
      <c r="F6" s="33">
        <f>SUM(F8:F12)</f>
        <v>2.9499999999999997</v>
      </c>
    </row>
    <row r="7" spans="1:20" ht="12" customHeight="1" x14ac:dyDescent="0.2">
      <c r="B7" s="34" t="s">
        <v>95</v>
      </c>
      <c r="C7" s="35" t="s">
        <v>77</v>
      </c>
      <c r="D7" s="35" t="s">
        <v>69</v>
      </c>
      <c r="E7" s="35" t="s">
        <v>68</v>
      </c>
      <c r="F7" s="36"/>
    </row>
    <row r="8" spans="1:20" ht="12" customHeight="1" x14ac:dyDescent="0.2">
      <c r="B8" s="37" t="s">
        <v>18</v>
      </c>
      <c r="C8" s="38" t="s">
        <v>78</v>
      </c>
      <c r="D8" s="39">
        <v>5</v>
      </c>
      <c r="E8" s="40">
        <v>0.2</v>
      </c>
      <c r="F8" s="41">
        <f>D8*E8</f>
        <v>1</v>
      </c>
    </row>
    <row r="9" spans="1:20" ht="12" customHeight="1" x14ac:dyDescent="0.2">
      <c r="B9" s="37" t="s">
        <v>79</v>
      </c>
      <c r="C9" s="38" t="s">
        <v>80</v>
      </c>
      <c r="D9" s="39">
        <v>2</v>
      </c>
      <c r="E9" s="40">
        <v>0.15</v>
      </c>
      <c r="F9" s="41">
        <f>D9*E9</f>
        <v>0.3</v>
      </c>
    </row>
    <row r="10" spans="1:20" ht="12" customHeight="1" x14ac:dyDescent="0.2">
      <c r="B10" s="37" t="s">
        <v>81</v>
      </c>
      <c r="C10" s="38" t="s">
        <v>82</v>
      </c>
      <c r="D10" s="39">
        <v>5</v>
      </c>
      <c r="E10" s="40">
        <v>0.25</v>
      </c>
      <c r="F10" s="41">
        <f>D10*E10</f>
        <v>1.25</v>
      </c>
    </row>
    <row r="11" spans="1:20" ht="12" customHeight="1" x14ac:dyDescent="0.2">
      <c r="B11" s="37" t="s">
        <v>87</v>
      </c>
      <c r="C11" s="38" t="s">
        <v>88</v>
      </c>
      <c r="D11" s="39">
        <v>1</v>
      </c>
      <c r="E11" s="40">
        <v>0.1</v>
      </c>
      <c r="F11" s="41">
        <f>D11*E11</f>
        <v>0.1</v>
      </c>
    </row>
    <row r="12" spans="1:20" ht="12" customHeight="1" thickBot="1" x14ac:dyDescent="0.25">
      <c r="B12" s="42" t="s">
        <v>83</v>
      </c>
      <c r="C12" s="43" t="s">
        <v>84</v>
      </c>
      <c r="D12" s="44">
        <v>1</v>
      </c>
      <c r="E12" s="45">
        <v>0.3</v>
      </c>
      <c r="F12" s="46">
        <f>D12*E12</f>
        <v>0.3</v>
      </c>
    </row>
    <row r="13" spans="1:20" ht="12" customHeight="1" x14ac:dyDescent="0.2"/>
    <row r="14" spans="1:20" ht="12" customHeight="1" x14ac:dyDescent="0.2"/>
    <row r="15" spans="1:20" ht="12" customHeight="1" x14ac:dyDescent="0.25">
      <c r="B15" s="25" t="s">
        <v>85</v>
      </c>
    </row>
    <row r="16" spans="1:20" ht="12" customHeight="1" thickBot="1" x14ac:dyDescent="0.25">
      <c r="H16" s="24" t="str">
        <f>B17</f>
        <v>XX1</v>
      </c>
    </row>
    <row r="17" spans="2:11" ht="19.5" customHeight="1" thickBot="1" x14ac:dyDescent="0.3">
      <c r="B17" s="160" t="s">
        <v>109</v>
      </c>
      <c r="C17" s="157"/>
      <c r="D17" s="157"/>
      <c r="E17" s="157"/>
      <c r="F17" s="33">
        <f>SUM(F19:F23)</f>
        <v>2.4499999999999997</v>
      </c>
      <c r="H17" s="24" t="str">
        <f>B25</f>
        <v>XX2</v>
      </c>
    </row>
    <row r="18" spans="2:11" s="24" customFormat="1" ht="12" customHeight="1" thickBot="1" x14ac:dyDescent="0.25">
      <c r="B18" s="34" t="s">
        <v>95</v>
      </c>
      <c r="C18" s="35" t="s">
        <v>77</v>
      </c>
      <c r="D18" s="35" t="s">
        <v>69</v>
      </c>
      <c r="E18" s="35" t="s">
        <v>68</v>
      </c>
      <c r="F18" s="36"/>
      <c r="H18" s="24" t="str">
        <f>B33</f>
        <v>XX3</v>
      </c>
      <c r="K18" s="23"/>
    </row>
    <row r="19" spans="2:11" s="24" customFormat="1" ht="12" customHeight="1" x14ac:dyDescent="0.2">
      <c r="B19" s="65">
        <f>'שלב שלישי - איומים מרכזיים'!U6</f>
        <v>1</v>
      </c>
      <c r="C19" s="38" t="str">
        <f>VLOOKUP(D19,'שלב שלישי - איומים מרכזיים'!$P$6:$T$10,5)</f>
        <v>הכנס טקסט לרמה 3</v>
      </c>
      <c r="D19" s="52">
        <v>3</v>
      </c>
      <c r="E19" s="40">
        <f>'שלב שלישי - איומים מרכזיים'!V6</f>
        <v>0.25</v>
      </c>
      <c r="F19" s="41">
        <f>D19*E19</f>
        <v>0.75</v>
      </c>
      <c r="H19" s="24" t="str">
        <f>B41</f>
        <v>XX4</v>
      </c>
      <c r="K19" s="23"/>
    </row>
    <row r="20" spans="2:11" s="24" customFormat="1" ht="12" customHeight="1" x14ac:dyDescent="0.2">
      <c r="B20" s="66">
        <f>'שלב שלישי - איומים מרכזיים'!U7</f>
        <v>2</v>
      </c>
      <c r="C20" s="38" t="str">
        <f>VLOOKUP(D20,'שלב שלישי - איומים מרכזיים'!$P$11:$T$15,5)</f>
        <v>הכנס טקסט לרמה 1</v>
      </c>
      <c r="D20" s="52">
        <v>1</v>
      </c>
      <c r="E20" s="40">
        <f>'שלב שלישי - איומים מרכזיים'!V7</f>
        <v>0.25</v>
      </c>
      <c r="F20" s="41">
        <f>D20*E20</f>
        <v>0.25</v>
      </c>
      <c r="K20" s="23"/>
    </row>
    <row r="21" spans="2:11" s="24" customFormat="1" ht="12" customHeight="1" x14ac:dyDescent="0.2">
      <c r="B21" s="66">
        <f>'שלב שלישי - איומים מרכזיים'!U8</f>
        <v>3</v>
      </c>
      <c r="C21" s="38" t="str">
        <f>VLOOKUP(D21,'שלב שלישי - איומים מרכזיים'!$P$16:$T$20,5)</f>
        <v>הכנס טקסט לרמה 2</v>
      </c>
      <c r="D21" s="52">
        <v>2</v>
      </c>
      <c r="E21" s="40">
        <f>'שלב שלישי - איומים מרכזיים'!V8</f>
        <v>0.2</v>
      </c>
      <c r="F21" s="41">
        <f>D21*E21</f>
        <v>0.4</v>
      </c>
      <c r="K21" s="23"/>
    </row>
    <row r="22" spans="2:11" s="24" customFormat="1" ht="12" customHeight="1" x14ac:dyDescent="0.2">
      <c r="B22" s="66">
        <f>'שלב שלישי - איומים מרכזיים'!U9</f>
        <v>4</v>
      </c>
      <c r="C22" s="38" t="str">
        <f>VLOOKUP(D22,'שלב שלישי - איומים מרכזיים'!$P$21:$T$25,5)</f>
        <v>הכנס טקסט לרמה 3</v>
      </c>
      <c r="D22" s="52">
        <v>3</v>
      </c>
      <c r="E22" s="40">
        <f>'שלב שלישי - איומים מרכזיים'!V9</f>
        <v>0.15</v>
      </c>
      <c r="F22" s="41">
        <f>D22*E22</f>
        <v>0.44999999999999996</v>
      </c>
      <c r="K22" s="23"/>
    </row>
    <row r="23" spans="2:11" s="24" customFormat="1" ht="12" customHeight="1" thickBot="1" x14ac:dyDescent="0.25">
      <c r="B23" s="67">
        <f>'שלב שלישי - איומים מרכזיים'!U10</f>
        <v>5</v>
      </c>
      <c r="C23" s="38" t="str">
        <f>VLOOKUP(D23,'שלב שלישי - איומים מרכזיים'!$P$26:$T$30,5)</f>
        <v>הכנס טקסט לרמה 4</v>
      </c>
      <c r="D23" s="53">
        <v>4</v>
      </c>
      <c r="E23" s="45">
        <f>'שלב שלישי - איומים מרכזיים'!V10</f>
        <v>0.15</v>
      </c>
      <c r="F23" s="46">
        <f>D23*E23</f>
        <v>0.6</v>
      </c>
      <c r="K23" s="23"/>
    </row>
    <row r="24" spans="2:11" s="24" customFormat="1" ht="12" customHeight="1" thickBot="1" x14ac:dyDescent="0.25">
      <c r="K24" s="23"/>
    </row>
    <row r="25" spans="2:11" ht="19.5" customHeight="1" thickBot="1" x14ac:dyDescent="0.3">
      <c r="B25" s="160" t="s">
        <v>110</v>
      </c>
      <c r="C25" s="157"/>
      <c r="D25" s="157"/>
      <c r="E25" s="157"/>
      <c r="F25" s="33">
        <f>SUM(F27:F31)</f>
        <v>0</v>
      </c>
    </row>
    <row r="26" spans="2:11" s="24" customFormat="1" ht="12" customHeight="1" thickBot="1" x14ac:dyDescent="0.25">
      <c r="B26" s="34" t="s">
        <v>95</v>
      </c>
      <c r="C26" s="35" t="s">
        <v>77</v>
      </c>
      <c r="D26" s="35" t="s">
        <v>69</v>
      </c>
      <c r="E26" s="35" t="s">
        <v>68</v>
      </c>
      <c r="F26" s="36"/>
      <c r="K26" s="23"/>
    </row>
    <row r="27" spans="2:11" s="24" customFormat="1" ht="12" customHeight="1" x14ac:dyDescent="0.2">
      <c r="B27" s="65">
        <f>'שלב שלישי - איומים מרכזיים'!U6</f>
        <v>1</v>
      </c>
      <c r="C27" s="38" t="e">
        <f>VLOOKUP(D27,'שלב שלישי - איומים מרכזיים'!$P$6:$T$10,5)</f>
        <v>#N/A</v>
      </c>
      <c r="D27" s="52"/>
      <c r="E27" s="40">
        <f>'שלב שלישי - איומים מרכזיים'!V6</f>
        <v>0.25</v>
      </c>
      <c r="F27" s="41">
        <f>D27*E27</f>
        <v>0</v>
      </c>
      <c r="K27" s="23"/>
    </row>
    <row r="28" spans="2:11" s="24" customFormat="1" ht="12" customHeight="1" x14ac:dyDescent="0.2">
      <c r="B28" s="66">
        <f>'שלב שלישי - איומים מרכזיים'!U7</f>
        <v>2</v>
      </c>
      <c r="C28" s="38" t="e">
        <f>VLOOKUP(D28,'שלב שלישי - איומים מרכזיים'!$P$11:$T$15,5)</f>
        <v>#N/A</v>
      </c>
      <c r="D28" s="52"/>
      <c r="E28" s="40">
        <f>'שלב שלישי - איומים מרכזיים'!V7</f>
        <v>0.25</v>
      </c>
      <c r="F28" s="41">
        <f>D28*E28</f>
        <v>0</v>
      </c>
      <c r="K28" s="23"/>
    </row>
    <row r="29" spans="2:11" s="24" customFormat="1" ht="12" customHeight="1" x14ac:dyDescent="0.2">
      <c r="B29" s="66">
        <f>'שלב שלישי - איומים מרכזיים'!U8</f>
        <v>3</v>
      </c>
      <c r="C29" s="38" t="e">
        <f>VLOOKUP(D29,'שלב שלישי - איומים מרכזיים'!$P$16:$T$20,5)</f>
        <v>#N/A</v>
      </c>
      <c r="D29" s="52"/>
      <c r="E29" s="40">
        <f>'שלב שלישי - איומים מרכזיים'!V8</f>
        <v>0.2</v>
      </c>
      <c r="F29" s="41">
        <f>D29*E29</f>
        <v>0</v>
      </c>
      <c r="K29" s="23"/>
    </row>
    <row r="30" spans="2:11" s="24" customFormat="1" ht="12" customHeight="1" x14ac:dyDescent="0.2">
      <c r="B30" s="66">
        <f>'שלב שלישי - איומים מרכזיים'!U9</f>
        <v>4</v>
      </c>
      <c r="C30" s="38" t="e">
        <f>VLOOKUP(D30,'שלב שלישי - איומים מרכזיים'!$P$21:$T$25,5)</f>
        <v>#N/A</v>
      </c>
      <c r="D30" s="52"/>
      <c r="E30" s="40">
        <f>'שלב שלישי - איומים מרכזיים'!V9</f>
        <v>0.15</v>
      </c>
      <c r="F30" s="41">
        <f>D30*E30</f>
        <v>0</v>
      </c>
      <c r="K30" s="23"/>
    </row>
    <row r="31" spans="2:11" s="24" customFormat="1" ht="12" customHeight="1" thickBot="1" x14ac:dyDescent="0.25">
      <c r="B31" s="67">
        <f>'שלב שלישי - איומים מרכזיים'!U10</f>
        <v>5</v>
      </c>
      <c r="C31" s="43" t="e">
        <f>VLOOKUP(D31,'שלב שלישי - איומים מרכזיים'!$P$26:$T$30,5)</f>
        <v>#N/A</v>
      </c>
      <c r="D31" s="53"/>
      <c r="E31" s="45">
        <f>'שלב שלישי - איומים מרכזיים'!V10</f>
        <v>0.15</v>
      </c>
      <c r="F31" s="46">
        <f>D31*E31</f>
        <v>0</v>
      </c>
      <c r="K31" s="23"/>
    </row>
    <row r="32" spans="2:11" s="24" customFormat="1" ht="12" customHeight="1" thickBot="1" x14ac:dyDescent="0.25">
      <c r="K32" s="23"/>
    </row>
    <row r="33" spans="2:11" ht="19.5" customHeight="1" thickBot="1" x14ac:dyDescent="0.3">
      <c r="B33" s="156" t="s">
        <v>111</v>
      </c>
      <c r="C33" s="157"/>
      <c r="D33" s="157"/>
      <c r="E33" s="157"/>
      <c r="F33" s="33">
        <f>SUM(F35:F39)</f>
        <v>0</v>
      </c>
    </row>
    <row r="34" spans="2:11" s="24" customFormat="1" ht="12" customHeight="1" x14ac:dyDescent="0.2">
      <c r="B34" s="69" t="s">
        <v>95</v>
      </c>
      <c r="C34" s="68" t="s">
        <v>77</v>
      </c>
      <c r="D34" s="35" t="s">
        <v>69</v>
      </c>
      <c r="E34" s="35" t="s">
        <v>68</v>
      </c>
      <c r="F34" s="36"/>
      <c r="K34" s="23"/>
    </row>
    <row r="35" spans="2:11" s="24" customFormat="1" ht="12" customHeight="1" x14ac:dyDescent="0.2">
      <c r="B35" s="70">
        <f>'שלב שלישי - איומים מרכזיים'!U6</f>
        <v>1</v>
      </c>
      <c r="C35" s="38" t="e">
        <f>VLOOKUP(D35,'שלב שלישי - איומים מרכזיים'!$P$6:$T$10,5)</f>
        <v>#N/A</v>
      </c>
      <c r="D35" s="52"/>
      <c r="E35" s="40">
        <f>'שלב שלישי - איומים מרכזיים'!V6</f>
        <v>0.25</v>
      </c>
      <c r="F35" s="41">
        <f>D35*E35</f>
        <v>0</v>
      </c>
      <c r="K35" s="23"/>
    </row>
    <row r="36" spans="2:11" s="24" customFormat="1" ht="12" customHeight="1" x14ac:dyDescent="0.2">
      <c r="B36" s="70">
        <f>'שלב שלישי - איומים מרכזיים'!U7</f>
        <v>2</v>
      </c>
      <c r="C36" s="38" t="e">
        <f>VLOOKUP(D36,'שלב שלישי - איומים מרכזיים'!$P$11:$T$15,5)</f>
        <v>#N/A</v>
      </c>
      <c r="D36" s="52"/>
      <c r="E36" s="40">
        <f>'שלב שלישי - איומים מרכזיים'!V7</f>
        <v>0.25</v>
      </c>
      <c r="F36" s="41">
        <f>D36*E36</f>
        <v>0</v>
      </c>
      <c r="K36" s="23"/>
    </row>
    <row r="37" spans="2:11" s="24" customFormat="1" ht="12" customHeight="1" x14ac:dyDescent="0.2">
      <c r="B37" s="70">
        <f>'שלב שלישי - איומים מרכזיים'!U8</f>
        <v>3</v>
      </c>
      <c r="C37" s="38" t="e">
        <f>VLOOKUP(D37,'שלב שלישי - איומים מרכזיים'!$P$16:$T$20,5)</f>
        <v>#N/A</v>
      </c>
      <c r="D37" s="52"/>
      <c r="E37" s="40">
        <f>'שלב שלישי - איומים מרכזיים'!V8</f>
        <v>0.2</v>
      </c>
      <c r="F37" s="41">
        <f>D37*E37</f>
        <v>0</v>
      </c>
      <c r="K37" s="23"/>
    </row>
    <row r="38" spans="2:11" s="24" customFormat="1" ht="12" customHeight="1" x14ac:dyDescent="0.2">
      <c r="B38" s="70">
        <f>'שלב שלישי - איומים מרכזיים'!U9</f>
        <v>4</v>
      </c>
      <c r="C38" s="38" t="e">
        <f>VLOOKUP(D38,'שלב שלישי - איומים מרכזיים'!$P$21:$T$25,5)</f>
        <v>#N/A</v>
      </c>
      <c r="D38" s="52"/>
      <c r="E38" s="40">
        <f>'שלב שלישי - איומים מרכזיים'!V9</f>
        <v>0.15</v>
      </c>
      <c r="F38" s="41">
        <f>D38*E38</f>
        <v>0</v>
      </c>
      <c r="K38" s="23"/>
    </row>
    <row r="39" spans="2:11" s="24" customFormat="1" ht="12" customHeight="1" thickBot="1" x14ac:dyDescent="0.25">
      <c r="B39" s="71">
        <f>'שלב שלישי - איומים מרכזיים'!U10</f>
        <v>5</v>
      </c>
      <c r="C39" s="43" t="e">
        <f>VLOOKUP(D39,'שלב שלישי - איומים מרכזיים'!$P$26:$T$30,5)</f>
        <v>#N/A</v>
      </c>
      <c r="D39" s="53"/>
      <c r="E39" s="45">
        <f>'שלב שלישי - איומים מרכזיים'!V10</f>
        <v>0.15</v>
      </c>
      <c r="F39" s="46">
        <f>D39*E39</f>
        <v>0</v>
      </c>
      <c r="K39" s="23"/>
    </row>
    <row r="40" spans="2:11" s="24" customFormat="1" ht="12" customHeight="1" thickBot="1" x14ac:dyDescent="0.25">
      <c r="K40" s="23"/>
    </row>
    <row r="41" spans="2:11" ht="19.5" customHeight="1" thickBot="1" x14ac:dyDescent="0.3">
      <c r="B41" s="156" t="s">
        <v>112</v>
      </c>
      <c r="C41" s="157"/>
      <c r="D41" s="157"/>
      <c r="E41" s="157"/>
      <c r="F41" s="33">
        <f>SUM(F43:F47)</f>
        <v>0</v>
      </c>
    </row>
    <row r="42" spans="2:11" s="24" customFormat="1" ht="12" customHeight="1" x14ac:dyDescent="0.2">
      <c r="B42" s="69" t="s">
        <v>95</v>
      </c>
      <c r="C42" s="68" t="s">
        <v>77</v>
      </c>
      <c r="D42" s="35" t="s">
        <v>69</v>
      </c>
      <c r="E42" s="35" t="s">
        <v>68</v>
      </c>
      <c r="F42" s="36"/>
      <c r="K42" s="23"/>
    </row>
    <row r="43" spans="2:11" s="24" customFormat="1" ht="12" customHeight="1" x14ac:dyDescent="0.2">
      <c r="B43" s="70">
        <f>'שלב שלישי - איומים מרכזיים'!U6</f>
        <v>1</v>
      </c>
      <c r="C43" s="38" t="e">
        <f>VLOOKUP(D43,'שלב שלישי - איומים מרכזיים'!$P$6:$T$10,5)</f>
        <v>#N/A</v>
      </c>
      <c r="D43" s="52"/>
      <c r="E43" s="40">
        <f>'שלב שלישי - איומים מרכזיים'!V6</f>
        <v>0.25</v>
      </c>
      <c r="F43" s="41">
        <f>D43*E43</f>
        <v>0</v>
      </c>
      <c r="K43" s="23"/>
    </row>
    <row r="44" spans="2:11" s="24" customFormat="1" ht="12" customHeight="1" x14ac:dyDescent="0.2">
      <c r="B44" s="70">
        <f>'שלב שלישי - איומים מרכזיים'!U7</f>
        <v>2</v>
      </c>
      <c r="C44" s="38" t="e">
        <f>VLOOKUP(D44,'שלב שלישי - איומים מרכזיים'!$P$11:$T$15,5)</f>
        <v>#N/A</v>
      </c>
      <c r="D44" s="52"/>
      <c r="E44" s="40">
        <f>'שלב שלישי - איומים מרכזיים'!V7</f>
        <v>0.25</v>
      </c>
      <c r="F44" s="41">
        <f>D44*E44</f>
        <v>0</v>
      </c>
      <c r="K44" s="23"/>
    </row>
    <row r="45" spans="2:11" s="24" customFormat="1" ht="12" customHeight="1" x14ac:dyDescent="0.2">
      <c r="B45" s="70">
        <f>'שלב שלישי - איומים מרכזיים'!U8</f>
        <v>3</v>
      </c>
      <c r="C45" s="38" t="e">
        <f>VLOOKUP(D45,'שלב שלישי - איומים מרכזיים'!$P$16:$T$20,5)</f>
        <v>#N/A</v>
      </c>
      <c r="D45" s="52"/>
      <c r="E45" s="40">
        <f>'שלב שלישי - איומים מרכזיים'!V8</f>
        <v>0.2</v>
      </c>
      <c r="F45" s="41">
        <f>D45*E45</f>
        <v>0</v>
      </c>
      <c r="K45" s="23"/>
    </row>
    <row r="46" spans="2:11" s="24" customFormat="1" ht="12" customHeight="1" x14ac:dyDescent="0.2">
      <c r="B46" s="70">
        <f>'שלב שלישי - איומים מרכזיים'!U9</f>
        <v>4</v>
      </c>
      <c r="C46" s="38" t="e">
        <f>VLOOKUP(D46,'שלב שלישי - איומים מרכזיים'!$P$21:$T$25,5)</f>
        <v>#N/A</v>
      </c>
      <c r="D46" s="52"/>
      <c r="E46" s="40">
        <f>'שלב שלישי - איומים מרכזיים'!V9</f>
        <v>0.15</v>
      </c>
      <c r="F46" s="41">
        <f>D46*E46</f>
        <v>0</v>
      </c>
      <c r="K46" s="23"/>
    </row>
    <row r="47" spans="2:11" s="24" customFormat="1" ht="12" customHeight="1" thickBot="1" x14ac:dyDescent="0.25">
      <c r="B47" s="71">
        <f>'שלב שלישי - איומים מרכזיים'!U10</f>
        <v>5</v>
      </c>
      <c r="C47" s="43" t="e">
        <f>VLOOKUP(D47,'שלב שלישי - איומים מרכזיים'!$P$26:$T$30,5)</f>
        <v>#N/A</v>
      </c>
      <c r="D47" s="53"/>
      <c r="E47" s="45">
        <f>'שלב שלישי - איומים מרכזיים'!V10</f>
        <v>0.15</v>
      </c>
      <c r="F47" s="46">
        <f>D47*E47</f>
        <v>0</v>
      </c>
      <c r="K47" s="23"/>
    </row>
    <row r="48" spans="2:11" s="24" customFormat="1" ht="12" customHeight="1" x14ac:dyDescent="0.2">
      <c r="K48" s="23"/>
    </row>
    <row r="49" spans="3:11" s="24" customFormat="1" ht="12" customHeight="1" x14ac:dyDescent="0.2">
      <c r="K49" s="23"/>
    </row>
    <row r="50" spans="3:11" s="24" customFormat="1" ht="12" customHeight="1" x14ac:dyDescent="0.25">
      <c r="C50" s="29"/>
      <c r="D50" s="30"/>
      <c r="E50" s="32"/>
      <c r="F50" s="32"/>
      <c r="G50" s="32"/>
      <c r="K50" s="23"/>
    </row>
    <row r="51" spans="3:11" s="24" customFormat="1" ht="12" customHeight="1" x14ac:dyDescent="0.2">
      <c r="K51" s="23"/>
    </row>
    <row r="52" spans="3:11" s="24" customFormat="1" ht="0" hidden="1" customHeight="1" x14ac:dyDescent="0.2">
      <c r="K52" s="23"/>
    </row>
    <row r="53" spans="3:11" s="24" customFormat="1" ht="0" hidden="1" customHeight="1" x14ac:dyDescent="0.2">
      <c r="K53" s="23"/>
    </row>
  </sheetData>
  <mergeCells count="6">
    <mergeCell ref="B41:E41"/>
    <mergeCell ref="B1:Q1"/>
    <mergeCell ref="B6:E6"/>
    <mergeCell ref="B17:E17"/>
    <mergeCell ref="B25:E25"/>
    <mergeCell ref="B33:E3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08251-C848-4182-829C-0BCCEE370A9F}">
  <dimension ref="A1:Y17"/>
  <sheetViews>
    <sheetView rightToLeft="1" zoomScale="145" zoomScaleNormal="145" workbookViewId="0">
      <selection activeCell="A9" sqref="A9"/>
    </sheetView>
  </sheetViews>
  <sheetFormatPr defaultColWidth="0" defaultRowHeight="0" customHeight="1" zeroHeight="1" x14ac:dyDescent="0.2"/>
  <cols>
    <col min="1" max="1" width="4" style="24" customWidth="1"/>
    <col min="2" max="2" width="20.85546875" style="24" customWidth="1"/>
    <col min="3" max="3" width="14.140625" style="24" customWidth="1"/>
    <col min="4" max="4" width="47.140625" style="24" customWidth="1"/>
    <col min="5" max="5" width="18.28515625" style="24" customWidth="1"/>
    <col min="6" max="6" width="16.140625" style="24" customWidth="1"/>
    <col min="7" max="7" width="15.42578125" style="24" customWidth="1"/>
    <col min="8" max="9" width="24.85546875" style="24" customWidth="1"/>
    <col min="10" max="10" width="29.140625" style="24" customWidth="1"/>
    <col min="11" max="11" width="27.7109375" style="24" customWidth="1"/>
    <col min="12" max="12" width="4.7109375" style="24" customWidth="1"/>
    <col min="13" max="14" width="10.28515625" style="24" hidden="1" customWidth="1"/>
    <col min="15" max="15" width="0" style="23" hidden="1" customWidth="1"/>
    <col min="16" max="25" width="10.28515625" style="23" hidden="1" customWidth="1"/>
    <col min="26" max="16384" width="0" style="23" hidden="1"/>
  </cols>
  <sheetData>
    <row r="1" spans="1:24" s="4" customFormat="1" ht="33" customHeight="1" x14ac:dyDescent="0.25">
      <c r="B1" s="85" t="s">
        <v>113</v>
      </c>
      <c r="C1" s="85"/>
      <c r="D1" s="85"/>
      <c r="E1" s="85"/>
      <c r="F1" s="85"/>
      <c r="G1" s="85"/>
      <c r="H1" s="85"/>
      <c r="I1" s="85"/>
      <c r="J1" s="85"/>
      <c r="K1" s="85"/>
      <c r="L1" s="85"/>
      <c r="M1" s="85"/>
      <c r="N1" s="85"/>
      <c r="O1" s="85"/>
      <c r="P1" s="85"/>
      <c r="Q1" s="85"/>
      <c r="R1" s="85"/>
      <c r="S1" s="85"/>
      <c r="T1" s="85"/>
      <c r="U1" s="85"/>
    </row>
    <row r="2" spans="1:24" customFormat="1" ht="12" customHeight="1" x14ac:dyDescent="0.25">
      <c r="A2" s="4"/>
      <c r="B2" s="1"/>
      <c r="C2" s="1"/>
      <c r="D2" s="1"/>
      <c r="E2" s="1"/>
      <c r="F2" s="1"/>
      <c r="G2" s="1"/>
      <c r="H2" s="1"/>
      <c r="I2" s="1"/>
      <c r="J2" s="1"/>
      <c r="K2" s="1"/>
      <c r="L2" s="4"/>
      <c r="M2" s="4"/>
      <c r="N2" s="4"/>
      <c r="O2" s="1"/>
      <c r="P2" s="1"/>
      <c r="Q2" s="1"/>
      <c r="R2" s="1"/>
      <c r="S2" s="1"/>
      <c r="T2" s="1"/>
      <c r="U2" s="1"/>
      <c r="V2" s="4"/>
      <c r="W2" s="4"/>
      <c r="X2" s="4"/>
    </row>
    <row r="3" spans="1:24" ht="12" customHeight="1" x14ac:dyDescent="0.2"/>
    <row r="4" spans="1:24" ht="12" customHeight="1" x14ac:dyDescent="0.25">
      <c r="B4" s="25"/>
      <c r="C4" s="25"/>
    </row>
    <row r="5" spans="1:24" ht="12" customHeight="1" x14ac:dyDescent="0.2"/>
    <row r="6" spans="1:24" ht="12" customHeight="1" x14ac:dyDescent="0.2">
      <c r="B6" s="74" t="s">
        <v>97</v>
      </c>
      <c r="C6" s="74" t="s">
        <v>98</v>
      </c>
      <c r="D6" s="74" t="s">
        <v>99</v>
      </c>
      <c r="E6" s="74" t="s">
        <v>101</v>
      </c>
      <c r="F6" s="74" t="s">
        <v>103</v>
      </c>
      <c r="G6" s="74" t="s">
        <v>106</v>
      </c>
      <c r="H6" s="74" t="s">
        <v>102</v>
      </c>
      <c r="I6" s="74" t="s">
        <v>104</v>
      </c>
      <c r="J6" s="74" t="s">
        <v>105</v>
      </c>
      <c r="K6" s="74" t="s">
        <v>107</v>
      </c>
    </row>
    <row r="7" spans="1:24" ht="24" customHeight="1" x14ac:dyDescent="0.2">
      <c r="B7" s="72" t="s">
        <v>76</v>
      </c>
      <c r="C7" s="73">
        <f>'שלב חמש - תרחישי איום מרכזיים'!F6</f>
        <v>2.9499999999999997</v>
      </c>
      <c r="D7" s="72" t="s">
        <v>100</v>
      </c>
      <c r="E7" s="72" t="s">
        <v>12</v>
      </c>
      <c r="F7" s="75">
        <v>3</v>
      </c>
      <c r="G7" s="75">
        <f>F7*C7</f>
        <v>8.85</v>
      </c>
      <c r="H7" s="73" t="s">
        <v>108</v>
      </c>
      <c r="I7" s="73">
        <v>2.95</v>
      </c>
      <c r="J7" s="75">
        <v>2</v>
      </c>
      <c r="K7" s="75">
        <f>J7*I7</f>
        <v>5.9</v>
      </c>
    </row>
    <row r="8" spans="1:24" ht="24" customHeight="1" x14ac:dyDescent="0.2">
      <c r="B8" s="72" t="str">
        <f>'שלב חמש - תרחישי איום מרכזיים'!H16</f>
        <v>XX1</v>
      </c>
      <c r="C8" s="73">
        <f>'שלב חמש - תרחישי איום מרכזיים'!F17</f>
        <v>2.4499999999999997</v>
      </c>
      <c r="D8" s="76"/>
      <c r="E8" s="76"/>
      <c r="F8" s="77"/>
      <c r="G8" s="75">
        <f t="shared" ref="G8:G11" si="0">F8*C8</f>
        <v>0</v>
      </c>
      <c r="H8" s="78"/>
      <c r="I8" s="78"/>
      <c r="J8" s="77"/>
      <c r="K8" s="75">
        <f t="shared" ref="K8:K11" si="1">J8*I8</f>
        <v>0</v>
      </c>
    </row>
    <row r="9" spans="1:24" ht="24" customHeight="1" x14ac:dyDescent="0.2">
      <c r="B9" s="72" t="str">
        <f>'שלב חמש - תרחישי איום מרכזיים'!H17</f>
        <v>XX2</v>
      </c>
      <c r="C9" s="73">
        <f>'שלב חמש - תרחישי איום מרכזיים'!F25</f>
        <v>0</v>
      </c>
      <c r="D9" s="76"/>
      <c r="E9" s="76"/>
      <c r="F9" s="77"/>
      <c r="G9" s="75">
        <f t="shared" si="0"/>
        <v>0</v>
      </c>
      <c r="H9" s="78"/>
      <c r="I9" s="78"/>
      <c r="J9" s="77"/>
      <c r="K9" s="75">
        <f t="shared" si="1"/>
        <v>0</v>
      </c>
    </row>
    <row r="10" spans="1:24" ht="24" customHeight="1" x14ac:dyDescent="0.2">
      <c r="B10" s="72" t="str">
        <f>'שלב חמש - תרחישי איום מרכזיים'!H18</f>
        <v>XX3</v>
      </c>
      <c r="C10" s="73">
        <f>'שלב חמש - תרחישי איום מרכזיים'!F33</f>
        <v>0</v>
      </c>
      <c r="D10" s="76"/>
      <c r="E10" s="76"/>
      <c r="F10" s="77"/>
      <c r="G10" s="75">
        <f t="shared" si="0"/>
        <v>0</v>
      </c>
      <c r="H10" s="78"/>
      <c r="I10" s="78"/>
      <c r="J10" s="77"/>
      <c r="K10" s="75">
        <f t="shared" si="1"/>
        <v>0</v>
      </c>
    </row>
    <row r="11" spans="1:24" ht="24" customHeight="1" x14ac:dyDescent="0.2">
      <c r="B11" s="72" t="str">
        <f>'שלב חמש - תרחישי איום מרכזיים'!H19</f>
        <v>XX4</v>
      </c>
      <c r="C11" s="73">
        <f>'שלב חמש - תרחישי איום מרכזיים'!F41</f>
        <v>0</v>
      </c>
      <c r="D11" s="76"/>
      <c r="E11" s="76"/>
      <c r="F11" s="77"/>
      <c r="G11" s="75">
        <f t="shared" si="0"/>
        <v>0</v>
      </c>
      <c r="H11" s="78"/>
      <c r="I11" s="78"/>
      <c r="J11" s="77"/>
      <c r="K11" s="75">
        <f t="shared" si="1"/>
        <v>0</v>
      </c>
    </row>
    <row r="12" spans="1:24" ht="12" customHeight="1" x14ac:dyDescent="0.2"/>
    <row r="13" spans="1:24" s="24" customFormat="1" ht="12" customHeight="1" x14ac:dyDescent="0.2">
      <c r="O13" s="23"/>
    </row>
    <row r="14" spans="1:24" s="24" customFormat="1" ht="12" customHeight="1" x14ac:dyDescent="0.25">
      <c r="D14" s="29"/>
      <c r="E14" s="29"/>
      <c r="F14" s="32"/>
      <c r="G14" s="32"/>
      <c r="H14" s="32"/>
      <c r="I14" s="32"/>
      <c r="J14" s="32"/>
      <c r="K14" s="32"/>
      <c r="O14" s="23"/>
    </row>
    <row r="15" spans="1:24" s="24" customFormat="1" ht="12" customHeight="1" x14ac:dyDescent="0.2">
      <c r="O15" s="23"/>
    </row>
    <row r="16" spans="1:24" s="24" customFormat="1" ht="0" hidden="1" customHeight="1" x14ac:dyDescent="0.2">
      <c r="O16" s="23"/>
    </row>
    <row r="17" spans="15:15" s="24" customFormat="1" ht="0" hidden="1" customHeight="1" x14ac:dyDescent="0.2">
      <c r="O17" s="23"/>
    </row>
  </sheetData>
  <mergeCells count="1">
    <mergeCell ref="B1:U1"/>
  </mergeCells>
  <conditionalFormatting sqref="C7:K11">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שלב ראשון - כללי</vt:lpstr>
      <vt:lpstr>שלב שני - זיהוי נכסים אסטרטגיים</vt:lpstr>
      <vt:lpstr>שלב שלישי - איומים מרכזיים</vt:lpstr>
      <vt:lpstr>שלב רביעי - גורמי איום</vt:lpstr>
      <vt:lpstr>שלב חמש - תרחישי איום מרכזיים</vt:lpstr>
      <vt:lpstr>שלב שש - ניתוח סיכונים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Nitzan Levi</dc:creator>
  <cp:lastModifiedBy>Nitzan Levi | Cybecs</cp:lastModifiedBy>
  <dcterms:created xsi:type="dcterms:W3CDTF">2024-07-16T12:57:29Z</dcterms:created>
  <dcterms:modified xsi:type="dcterms:W3CDTF">2026-02-08T08:16:06Z</dcterms:modified>
</cp:coreProperties>
</file>